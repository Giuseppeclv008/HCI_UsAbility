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poste del modulo 1" sheetId="1" state="visible" r:id="rId3"/>
    <sheet name="Codebook" sheetId="2" state="visible" r:id="rId4"/>
    <sheet name="Codifica" sheetId="3" state="visible" r:id="rId5"/>
    <sheet name="Temi" sheetId="4" state="visible" r:id="rId6"/>
  </sheets>
  <definedNames>
    <definedName function="false" hidden="true" localSheetId="1" name="_xlnm._FilterDatabase" vbProcedure="false">Codebook!$A$1:$D$22</definedName>
    <definedName function="false" hidden="true" localSheetId="2" name="_xlnm._FilterDatabase" vbProcedure="false">Codifica!$A$1:$E$76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<sst xmlns="http://schemas.openxmlformats.org/spreadsheetml/2006/main" count="1002" uniqueCount="517">
  <si>
    <t xml:space="preserve">Informazioni cronologiche</t>
  </si>
  <si>
    <t xml:space="preserve">Acconsenti a partecipare a questo studio?</t>
  </si>
  <si>
    <t xml:space="preserve">Attualmente lavori completamente da remoto?</t>
  </si>
  <si>
    <t xml:space="preserve">Quanti anni hai?</t>
  </si>
  <si>
    <t xml:space="preserve">Lavoravi già completamente da remoto quando avevi circa 35 anni?</t>
  </si>
  <si>
    <t xml:space="preserve">Genere</t>
  </si>
  <si>
    <t xml:space="preserve">Paese (o città) in cui vivi</t>
  </si>
  <si>
    <t xml:space="preserve">Che lavoro / ruolo hai?</t>
  </si>
  <si>
    <t xml:space="preserve">Con chi vivi?</t>
  </si>
  <si>
    <t xml:space="preserve">Quanto spesso fai attività fisica o sport?</t>
  </si>
  <si>
    <t xml:space="preserve">Descrivi la tua ultima giornata lavorativa tipica, da quando ti sei svegliato/a a quando hai smesso di lavorare.</t>
  </si>
  <si>
    <t xml:space="preserve">Come segni l'inizio e la fine della tua giornata lavorativa? Hai abitudini o rituali?</t>
  </si>
  <si>
    <t xml:space="preserve">Nell'ultimo mese, quanto spesso ti è capitato di… […continuare a lavorare oltre l'orario previsto]</t>
  </si>
  <si>
    <t xml:space="preserve">Nell'ultimo mese, quanto spesso ti è capitato di… […controllare messaggi di lavoro fuori orario]</t>
  </si>
  <si>
    <t xml:space="preserve">Nell'ultimo mese, quanto spesso ti è capitato di… […pranzare alla scrivania o saltare il pranzo]</t>
  </si>
  <si>
    <t xml:space="preserve">Nell'ultimo mese, quanto spesso ti è capitato di… […sentirti incapace di staccare dal lavoro]</t>
  </si>
  <si>
    <t xml:space="preserve">Nell'ultimo mese, quanto spesso ti è capitato di… […passare un'intera giornata senza uscire di casa]</t>
  </si>
  <si>
    <t xml:space="preserve">Pensa all'ultima volta in cui il lavoro ha invaso il tuo tempo personale. Cosa è successo e come ti sei sentito/a?</t>
  </si>
  <si>
    <t xml:space="preserve">In una settimana normale, con quante persone parli di persona (non in videochiamata), escluse quelle con cui vivi?</t>
  </si>
  <si>
    <t xml:space="preserve">Come interagisci con i colleghi al di là delle attività strettamente lavorative? (anche più risposte)</t>
  </si>
  <si>
    <t xml:space="preserve">Quanto ti senti in connessione con i tuoi colleghi?</t>
  </si>
  <si>
    <t xml:space="preserve">Quanto sei soddisfatto/a della tua vita sociale fuori dal lavoro?</t>
  </si>
  <si>
    <t xml:space="preserve">Come ha cambiato la tua vita sociale il lavoro da remoto? Raccontaci aspetti positivi e negativi.</t>
  </si>
  <si>
    <t xml:space="preserve">Raccontaci l'ultima volta in cui ti sei sentito/a solo/a o isolato/a a causa del modo in cui lavori. Se non ti capita, cosa pensi che ti protegga?</t>
  </si>
  <si>
    <t xml:space="preserve">Cosa fai attualmente per tenere separati lavoro e vita privata?</t>
  </si>
  <si>
    <t xml:space="preserve">Quali di questi usi per concentrazione, gestione del tempo, benessere o socialità? (anche più risposte)</t>
  </si>
  <si>
    <t xml:space="preserve">Hai mai provato qualcosa (un'abitudine, uno strumento, un gruppo, una routine) per migliorare i tuoi confini o la tua vita sociale e poi hai smesso? Cosa e perché?</t>
  </si>
  <si>
    <t xml:space="preserve">Se potessi cambiare una cosa di come il lavoro da remoto influisce sul tuo benessere, quale sarebbe e perché?</t>
  </si>
  <si>
    <t xml:space="preserve">Dove lavori più spesso?</t>
  </si>
  <si>
    <t xml:space="preserve">Quanti giorni a settimana lavori fuori casa?</t>
  </si>
  <si>
    <t xml:space="preserve">Cosa ti ha spinto a iniziare a lavorare lì invece che a casa?</t>
  </si>
  <si>
    <t xml:space="preserve">Interagisci con le altre persone che lavorano lì? Descrivi l'ultima interazione significativa che hai avuto (o perché non succede).</t>
  </si>
  <si>
    <t xml:space="preserve">In cosa sono diversi l'inizio e la fine della giornata quando lavori lì rispetto a quando lavori a casa?</t>
  </si>
  <si>
    <t xml:space="preserve">Cosa non funziona per te in questi spazi (costi, rumore, privacy, persone, distanza…)?</t>
  </si>
  <si>
    <t xml:space="preserve">Quale di queste descrive meglio i tuoi orari di lavoro?</t>
  </si>
  <si>
    <t xml:space="preserve">In che fascia oraria (ora locale) lavori di solito?</t>
  </si>
  <si>
    <t xml:space="preserve">Come organizzi sonno, pasti e tempo libero attorno a questi orari?</t>
  </si>
  <si>
    <t xml:space="preserve">Raccontaci l'ultima volta in cui i tuoi orari ti hanno fatto perdere o rinunciare a qualcosa di sociale (una cena, un evento, lo sport…). Cosa è successo?</t>
  </si>
  <si>
    <t xml:space="preserve">Quando i tuoi colleghi sono online e tu no (o viceversa), come gestisci i messaggi e la sensazione di dover essere reperibile?</t>
  </si>
  <si>
    <t xml:space="preserve">Le persone intorno a te (partner, amici, coinquilini, famiglia) si adattano ai tuoi orari? In che modo?</t>
  </si>
  <si>
    <t xml:space="preserve">Da quanto tempo lavori completamente da remoto?</t>
  </si>
  <si>
    <t xml:space="preserve">Come sono cambiate le tue abitudini tra lavoro e tempo libero rispetto ai primi mesi completamente da remoto?</t>
  </si>
  <si>
    <t xml:space="preserve">C'è stato un periodo in cui il lavoro da remoto ti è pesato più del solito? Cosa stava succedendo e cosa ti ha aiutato?</t>
  </si>
  <si>
    <t xml:space="preserve">Cosa hai dovuto imparare a tue spese che diresti a chi inizia oggi a lavorare completamente da remoto?</t>
  </si>
  <si>
    <t xml:space="preserve">Hai mai pensato di tornare in ufficio o a un lavoro ibrido? Perché, e cosa hai deciso?</t>
  </si>
  <si>
    <t xml:space="preserve">Per mostrarti le domande finali giuste, in che fascia d'età sei?</t>
  </si>
  <si>
    <t xml:space="preserve">Rispetto a quando avevi meno di 35 anni, come è cambiato il modo in cui bilanci lavoro, tempo libero e vita sociale?</t>
  </si>
  <si>
    <t xml:space="preserve">Cosa è cambiato nelle tue priorità negli ultimi anni (carriera, famiglia, salute, amicizie) e come si incastra il lavoro da remoto con esse?</t>
  </si>
  <si>
    <t xml:space="preserve">Nella tua fase di vita attuale, cosa rende più facile o più difficile conoscere persone nuove o mantenere i contatti con gli amici?</t>
  </si>
  <si>
    <t xml:space="preserve">I tuoi amici coetanei hanno ritmi diversi dai tuoi (lavoro in ufficio, figli, turni)? Come influisce su quando e come vi vedete?</t>
  </si>
  <si>
    <t xml:space="preserve">C'è qualcosa che fai oggi per proteggere il tuo benessere che avresti voluto iniziare prima? Perché?</t>
  </si>
  <si>
    <t xml:space="preserve">In cosa pensi che la tua esperienza del lavoro da remoto sia diversa da quella dei colleghi ventenni?</t>
  </si>
  <si>
    <t xml:space="preserve">Prima di passare completamente al remoto, quanti anni avevi lavorato in ufficio o in presenza?</t>
  </si>
  <si>
    <t xml:space="preserve">Cosa ti ha portato a lavorare completamente da remoto in questa fase della tua vita e carriera?</t>
  </si>
  <si>
    <t xml:space="preserve">Hai notato colleghi più giovani in difficoltà con i confini o l'isolamento in modi che a te non capitano? Raccontaci una situazione concreta.</t>
  </si>
  <si>
    <t xml:space="preserve">Ti capita di supportare o consigliare colleghi più giovani da remoto (formalmente o informalmente)? Come avviene a distanza?</t>
  </si>
  <si>
    <t xml:space="preserve">Quali abitudini o regole hai portato dalla vita d'ufficio che ti aiutano ancora oggi?</t>
  </si>
  <si>
    <t xml:space="preserve">Come ha influito il lavoro da remoto sulla tua salute fisica (movimento, postura, sonno, energia) e cosa fai al riguardo?</t>
  </si>
  <si>
    <t xml:space="preserve">Quanto ti senti a tuo agio con gli strumenti digitali del lavoro da remoto (chat, videochiamate, strumenti asincroni)? Ce n'è uno che ti rende più difficile staccare?</t>
  </si>
  <si>
    <t xml:space="preserve">In cosa pensi che la tua esperienza del lavoro da remoto sia diversa da quella dei colleghi più giovani?</t>
  </si>
  <si>
    <t xml:space="preserve">Se in passato hai lavorato in ufficio: cosa ti manca e cosa invece non ti manca per niente?</t>
  </si>
  <si>
    <t xml:space="preserve">Negli anni, come hai costruito la tua cerchia di amicizie, e quanto viene dal lavoro?</t>
  </si>
  <si>
    <t xml:space="preserve">In che modo famiglia o altre responsabilità influenzano i confini tra lavoro e tempo personale?</t>
  </si>
  <si>
    <t xml:space="preserve">C'è qualcos'altro sul lavoro da remoto, la vita sociale o i confini che vorresti raccontarci?</t>
  </si>
  <si>
    <t xml:space="preserve">Saresti disponibile per una breve intervista di approfondimento (30–45 min, di persona o in videochiamata)?</t>
  </si>
  <si>
    <t xml:space="preserve">Se sì, lascia la tua email o un contatto social per ricontattarti</t>
  </si>
  <si>
    <t xml:space="preserve">Se sei a Torino o in zone limitrofe, sei disponibile ad essere intervistato dal vivo ?</t>
  </si>
  <si>
    <t xml:space="preserve">Sì, acconsento</t>
  </si>
  <si>
    <t xml:space="preserve">Sì, completamente da remoto (al massimo pochi giorni in ufficio all'anno)</t>
  </si>
  <si>
    <t xml:space="preserve">30–35</t>
  </si>
  <si>
    <t xml:space="preserve">Uomo</t>
  </si>
  <si>
    <t xml:space="preserve">La Loggia (TO)</t>
  </si>
  <si>
    <t xml:space="preserve">Libero professionista - Content creator e copywriter</t>
  </si>
  <si>
    <t xml:space="preserve">Con il/la partner</t>
  </si>
  <si>
    <t xml:space="preserve">3 o più volte a settimana</t>
  </si>
  <si>
    <t xml:space="preserve">Passeggiata, lavoro creativo al mattino per me e per clienti, palestra + pranzo, dormita strategica, ancora lavoro blando fino alle 16-17.</t>
  </si>
  <si>
    <t xml:space="preserve">Nella bella stagione una passeggiata prima di iniziare a lavorare</t>
  </si>
  <si>
    <t xml:space="preserve">Mai</t>
  </si>
  <si>
    <t xml:space="preserve">Sempre</t>
  </si>
  <si>
    <t xml:space="preserve">Raramente</t>
  </si>
  <si>
    <t xml:space="preserve">Non è successo</t>
  </si>
  <si>
    <t xml:space="preserve">3–5</t>
  </si>
  <si>
    <t xml:space="preserve">Interagisco online con il mio socio </t>
  </si>
  <si>
    <t xml:space="preserve">Mi ha dato il controllo della mia intera esistenza, direi che è sufficiente.</t>
  </si>
  <si>
    <t xml:space="preserve">Mi capita raramente perché fondamentalmente sto bene da solo. Nella bella stagione sento più l'esigenza di uscire e socializzare.</t>
  </si>
  <si>
    <t xml:space="preserve">Non lo faccio, ma il lavoro non invade la vita privata perché non arriva mai a picchi troppo stressanti.</t>
  </si>
  <si>
    <t xml:space="preserve">Nessuno di questi</t>
  </si>
  <si>
    <t xml:space="preserve">No, ma proverei.</t>
  </si>
  <si>
    <t xml:space="preserve">Vorrei aver ereditato case sparse per l'Italia come i migliori figli di papà per lavorare da posti diversi durante l'anno senza spendere tonnellate di denaro per farlo.</t>
  </si>
  <si>
    <t xml:space="preserve">A casa, in una stanza usata solo per lavorare</t>
  </si>
  <si>
    <t xml:space="preserve">Orari standard, stesso fuso del mio team</t>
  </si>
  <si>
    <t xml:space="preserve">Più di 5 anni</t>
  </si>
  <si>
    <t xml:space="preserve">Non sono cambiate, non ho orari definiti ma magari lavoro, faccio attività fisica, poi lavoro ancora, poi mi rilasso leggendo o giocando ai videogiochi.</t>
  </si>
  <si>
    <t xml:space="preserve">Tendenzialmente più d'inverno con il buio e il brutto tempo, a volte ti senti "Imprigionato".</t>
  </si>
  <si>
    <t xml:space="preserve">Fai in modo di avere una routine per rimanere stabile mentalmente e pratica assolutamente sport.</t>
  </si>
  <si>
    <t xml:space="preserve">No, manco per sbaglio.</t>
  </si>
  <si>
    <t xml:space="preserve">Meno di 36</t>
  </si>
  <si>
    <t xml:space="preserve">-</t>
  </si>
  <si>
    <t xml:space="preserve">Sì</t>
  </si>
  <si>
    <t xml:space="preserve">altimani.luca.web@gmail.com</t>
  </si>
  <si>
    <t xml:space="preserve">25–29</t>
  </si>
  <si>
    <t xml:space="preserve">Donna</t>
  </si>
  <si>
    <t xml:space="preserve">Modena</t>
  </si>
  <si>
    <t xml:space="preserve">Software Engineer</t>
  </si>
  <si>
    <t xml:space="preserve">1–2 volte a settimana</t>
  </si>
  <si>
    <t xml:space="preserve">Mi sono svegliata alle 9. Alle 9:15 ho avuto il solito meeting di allineamento giornaliero (daily) fino alle 10. Alle 10 ho fatto colazione. Ho lavorato in autonomia fino alle 12. Alle 12 ho avuto un meeting. Mentre seguivo il meeting ho cucinato il pranzo. Alle 13 ho pranzato con la mia compagna. Alle 14:30 ho ripreso a lavorare. Alle 16:30 pausa caffè di 15 minuti. Ho lavorato fino alle 18.</t>
  </si>
  <si>
    <t xml:space="preserve">Accendo e spengo il PC ed esco dal mio studio.</t>
  </si>
  <si>
    <t xml:space="preserve">A volte</t>
  </si>
  <si>
    <t xml:space="preserve">Spesso</t>
  </si>
  <si>
    <t xml:space="preserve">Ansiosa a causa di alcune deadlines. </t>
  </si>
  <si>
    <t xml:space="preserve">6 o più</t>
  </si>
  <si>
    <t xml:space="preserve">Canali di chat informali (es. #random su Slack), Pause caffè virtuali / call sociali, Incontri dal vivo, retreat o offsite</t>
  </si>
  <si>
    <t xml:space="preserve">In meglio! Più flessibilit e possibilità di vedere chi voglio dove voglio.</t>
  </si>
  <si>
    <t xml:space="preserve">Ho un luogo adibito solo al lavoro, il mio studio.</t>
  </si>
  <si>
    <t xml:space="preserve">Non disturbare o orari per le notifiche, Un dispositivo o account separato per il lavoro</t>
  </si>
  <si>
    <t xml:space="preserve">Non saprei</t>
  </si>
  <si>
    <t xml:space="preserve">1–3 anni</t>
  </si>
  <si>
    <t xml:space="preserve">No</t>
  </si>
  <si>
    <t xml:space="preserve">Corato (BA) </t>
  </si>
  <si>
    <t xml:space="preserve">Software developer </t>
  </si>
  <si>
    <t xml:space="preserve">Con i miei genitori / famiglia d'origine</t>
  </si>
  <si>
    <t xml:space="preserve">Colazione, call del mattino, caffè, lavoro, se ho tempi morti leggo qualcosa, pranzo, lavoro e poi o esco o vado in palestra </t>
  </si>
  <si>
    <t xml:space="preserve">Mi faccio un caffè </t>
  </si>
  <si>
    <t xml:space="preserve">Non è successo per fortuna </t>
  </si>
  <si>
    <t xml:space="preserve">Pause caffè virtuali / call sociali</t>
  </si>
  <si>
    <t xml:space="preserve">In positivo perché mi dà più tempo libero e magari la domenica posso fare più tardi o tipo uscire d rientrare senza problemi all'1 di notte ma allo stesso tempo mi ha spinto ad ampliare la rete sociale. </t>
  </si>
  <si>
    <t xml:space="preserve">Mi protegge il fatto che appena stacco ho modo di andare in palestra, ho degli amici con cui o mi vedo o sono sempre in contatto </t>
  </si>
  <si>
    <t xml:space="preserve">Stacco e me ne frego</t>
  </si>
  <si>
    <t xml:space="preserve">Magari vorrei un rapporto meno distaccato con gli altri colleghi visto che tranne con uno, con gli altri non capita di parlare di cose che vanno oltre il lavoro </t>
  </si>
  <si>
    <t xml:space="preserve">È utile per il discorso costi (visto I prezzi del carburante) ma allo stesso tempo devi saper gestire perché stare chiuso in casa senza occasioni sociali al di fuori dell'orario di lavoro non fa bene </t>
  </si>
  <si>
    <t xml:space="preserve">gramegna.simone@gmail.com</t>
  </si>
  <si>
    <t xml:space="preserve">Ibrido: vado in ufficio o in sede regolarmente</t>
  </si>
  <si>
    <t xml:space="preserve">Amsterdam</t>
  </si>
  <si>
    <t xml:space="preserve">Lead Account Manager</t>
  </si>
  <si>
    <t xml:space="preserve">Sveglia alle 8.00, colazione con calma, 9.00 si inizia a lavorare da casa. Parlo con i colleghi e con il mio partner che anche lavora da casa. Pausa pranzo di 1h verso le 12.00. smetto di lavorare alle 17.00. 
Un paio di volte a settimana faccio lo stesso ma vado a lavorare in un coworking space dove capita di icnntrare amici. </t>
  </si>
  <si>
    <t xml:space="preserve">Inizio con il caffe' e con lo svuotare la lavastoviglia pulita, la fine mi preparo e vado in palestra. </t>
  </si>
  <si>
    <t xml:space="preserve">Capita molto poco, ho un'ottimo work life balance. Quando e' successo non ho provato molto disturbo in quanto e' successo veramente poche volte. </t>
  </si>
  <si>
    <t xml:space="preserve">1–2</t>
  </si>
  <si>
    <t xml:space="preserve">Positivi: possibilita' di passare tempo di qualita' con la mia famiglia che non vive nella citta' in cui lavoro, passare del tempo con amici di sempre, viaggiare, avere piu' tempo per la gestione della casa, della mia vita privata, nelle mie passioni. Molti meno costi di logistica e pranzi etc. Mangio piu' sano in quanto ho tempo per cucinare. Dormo di piu'. Riesco a fare sport. 
Negativi: Meno interazioni umane. </t>
  </si>
  <si>
    <t xml:space="preserve">Mi protegge la mia routine, andare a lavorare ogni tanto in cowroking, viaggiare molto sia per lavoro sia per passione e poter lavorare da dove mi pare. Avere un casa che spesso accoglie amici e familiari. </t>
  </si>
  <si>
    <t xml:space="preserve">Rispetto gli orari, uso spazi diversi per lavorare. </t>
  </si>
  <si>
    <t xml:space="preserve">Blocchi nel calendario, Timer di concentrazione / Pomodoro, Non disturbare o orari per le notifiche, Fitness tracker o app sportive, Un dispositivo o account separato per il lavoro</t>
  </si>
  <si>
    <t xml:space="preserve">Non cambierei nulla, per me lavorare da remoto e' un diritto che tutti dovrebbero avere. E' liberta', e' puro benessere e sono estrememnete grato di poter essere parte di questo cluster di persone. </t>
  </si>
  <si>
    <t xml:space="preserve">Cambia spesso / in viaggio</t>
  </si>
  <si>
    <t xml:space="preserve">2–3 giorni</t>
  </si>
  <si>
    <t xml:space="preserve">Cambiare area</t>
  </si>
  <si>
    <t xml:space="preserve">si integraggisco, parliamo di tutto. Spesso sono amici. </t>
  </si>
  <si>
    <t xml:space="preserve">Sono due mindset diversi. Quando lavoro da casa spesso a fine giornata esco comuqnue, finisco alle 17 e quindi ho ancora tanet ore d'avanti per fare tante altre cose. Quando lavoro fuori, spesso sono gia' molto stanco, quindi o mi fermo per un piccolo apertivo con amici o vado a giocare a tennis o se sono vicino al mare, vado a mare. </t>
  </si>
  <si>
    <t xml:space="preserve">alcune volte costi</t>
  </si>
  <si>
    <t xml:space="preserve">Molto, inizialemnte non ero molto diligente con il mio work life balance, poi ho imparato a gestirlo. </t>
  </si>
  <si>
    <t xml:space="preserve">Impara a crearti spazi condivisi, una community , persone come te, impara la gestione del tempo. </t>
  </si>
  <si>
    <t xml:space="preserve">MAI </t>
  </si>
  <si>
    <t xml:space="preserve">Lavorare da remoto e' progresso. Continuate a lottare per questo diritto. </t>
  </si>
  <si>
    <t xml:space="preserve">Mobile Alabama stati uniti</t>
  </si>
  <si>
    <t xml:space="preserve">Sales</t>
  </si>
  <si>
    <t xml:space="preserve">Sveglia alle 5 smesso alle 3 Pm nel mio studio, poche pause chiamate riunioni solite cose</t>
  </si>
  <si>
    <t xml:space="preserve">Caffè prima di iniziare </t>
  </si>
  <si>
    <t xml:space="preserve">Stressato per i kpi sono uscito con mia moglie per non pensarci </t>
  </si>
  <si>
    <t xml:space="preserve">Canali di chat informali (es. #random su Slack)</t>
  </si>
  <si>
    <t xml:space="preserve">Parlo meno con colleghi e li conosco meno, forse imparo meno velocemente ma son più performante perché perdo molto meno tempo </t>
  </si>
  <si>
    <t xml:space="preserve">Non mi sento mai solo, ho molto lavoro quindi questo mi protegge forse </t>
  </si>
  <si>
    <t xml:space="preserve">Non entro mai nella stanza in cui lavoro al di fuori dell orario di lavoro </t>
  </si>
  <si>
    <t xml:space="preserve">Mi farebbe piacere vedere i miei colleghi almeno una volta al mese </t>
  </si>
  <si>
    <t xml:space="preserve">Meno di 1 anno</t>
  </si>
  <si>
    <t xml:space="preserve">matteo.pierangeli.97@gmail.com</t>
  </si>
  <si>
    <t xml:space="preserve">Cybersecurity consultant</t>
  </si>
  <si>
    <t xml:space="preserve">Da solo/a</t>
  </si>
  <si>
    <t xml:space="preserve">Call allineamento iniziale, svolgimento task, monitoraggio, allineamento colleghi, verifiche pomeridiane, stacco</t>
  </si>
  <si>
    <t xml:space="preserve"> No</t>
  </si>
  <si>
    <t xml:space="preserve">Un problema improvviso, può succedere. Son stato tranquillo, sapevo era un'eccezione e non la regola</t>
  </si>
  <si>
    <t xml:space="preserve">Posso finalmente riprendere a fare sport dato che non devo sprecare ore di pendolarismo </t>
  </si>
  <si>
    <t xml:space="preserve">La libertà </t>
  </si>
  <si>
    <t xml:space="preserve">Spengo notebook e telefono aziendale </t>
  </si>
  <si>
    <t xml:space="preserve">N/A</t>
  </si>
  <si>
    <t xml:space="preserve">3–5 anni</t>
  </si>
  <si>
    <t xml:space="preserve">Uguali</t>
  </si>
  <si>
    <t xml:space="preserve">Mettere per iscritto la modalità di lavoro evitando che questa abbia un termine</t>
  </si>
  <si>
    <t xml:space="preserve">Sì, se fosse vicino a casa mia</t>
  </si>
  <si>
    <t xml:space="preserve">Salerno</t>
  </si>
  <si>
    <t xml:space="preserve">Sviluppatore software</t>
  </si>
  <si>
    <t xml:space="preserve">Circa ore 10 mi sveglio, saluto il mio partner (che anche lavora da remoto) e inizio a lavorare
Verso le 12 potrei fermarmi e fare una pausa per colazione o spuntino
Ore 13.30 preparo il pranzo e finisco verso le 14.30/15.00 (pausa inclusa)
Ore 16.00 solitamente riunioni con il team
Ore 17.00 fine delle riunioni e faccio pausa (spuntino, 15 minuti di riposo), Ore 19.00 Fine lavoro</t>
  </si>
  <si>
    <t xml:space="preserve">Niente di particolare, inizio accendendo il PC, finisco quando non ho altri compiti rimasti per la giornata (a volte stacco prima, a volte dopo, a volte lascio il portatile acceso per alcuni controlli che magari faccio la sera)</t>
  </si>
  <si>
    <t xml:space="preserve">Messaggi da colleghi che lavorano in timezone USA. Non mi pesa sinceramente- Se ho altro da fare stacco e basta, se non ho niente da fare (sono a casa o guardo un film o sto cucinando la cena) onestamente non mi pesa</t>
  </si>
  <si>
    <t xml:space="preserve">Canali di chat informali (es. #random su Slack), Incontri dal vivo, retreat o offsite</t>
  </si>
  <si>
    <t xml:space="preserve">Ho energie per attività da svolgere dopo il lavoro. Ho lavorato a 50 minuti da casa (quando vivevo a torino, da piazza Massaua a lungo stura lazio) e non avevo tempo di fare nulla.
A volte vado a pranzo fuori con amici. Altre volte vado a casa dai miei genitori per un pranzo. Se ho eventu Domenica sera - Giovedì sera non devo pensare  che il giorno dopo mi devo alzare alle 7.
Non ho rilevato aspetti negativi personalmente, probabilmente perchè vivo nella mia città natale e ho amici e attività al di fuori del lavoro</t>
  </si>
  <si>
    <t xml:space="preserve">Durante il COVID. Principalmente perchè mi ero trasferito per lavorare in sede in una città in cui non conoscevo nessuno, e non c'era possibilità di fare attività post-lavoro causa COVID</t>
  </si>
  <si>
    <t xml:space="preserve">Onestamente non mi pesa se le due cose si sovrappongono. </t>
  </si>
  <si>
    <t xml:space="preserve">No, non ho rilevato questo problema</t>
  </si>
  <si>
    <t xml:space="preserve">Al momento non cambierei nulla</t>
  </si>
  <si>
    <t xml:space="preserve">A casa, in uno spazio condiviso (camera, cucina, soggiorno)</t>
  </si>
  <si>
    <t xml:space="preserve">Lavoro con persone a più di 3 ore di differenza di fuso</t>
  </si>
  <si>
    <t xml:space="preserve">10:30-18:30</t>
  </si>
  <si>
    <t xml:space="preserve">Dormo circa 8 ore prima di quando devo svegliarmi, vado in palestra attorno alle 19:30, mangio verso le 13:30. Nessun cambio particolare rispetto al solito lavoro da ufficio</t>
  </si>
  <si>
    <t xml:space="preserve">Un problema lavorativo alle 18:00 ha richiesto più tempo del previsto. Ho preferito rinunciare alla palestra per riposarmi</t>
  </si>
  <si>
    <t xml:space="preserve">A volte rispondo, ma sono consapevole che nessuno mi obbliga. E viceversa.</t>
  </si>
  <si>
    <t xml:space="preserve">No, niente in particolare</t>
  </si>
  <si>
    <t xml:space="preserve">Rimaste circa le stesse</t>
  </si>
  <si>
    <t xml:space="preserve">Solo durante il COVID, perchè vivevo in una città totalmente nuova. Poi mi sono trasferito nella città natale</t>
  </si>
  <si>
    <t xml:space="preserve">Comprate una sedia da ufficio (non quelle schifezze da gaming) e non usate una sedia da cucina</t>
  </si>
  <si>
    <t xml:space="preserve">Solo se raddoppiassi lo stipendio. Cosa impossibile nella zona in cui vivo</t>
  </si>
  <si>
    <t xml:space="preserve">Dovrebbe essere un diritto per chi svolge un lavoro da PC. E spacciare lavoro da remoto un ibrido con 2  giorni in sede su Milano non ha senso. Ha tutti gli svantaggi di un trasferimento (a meno che non vivi vicino ovviamente) ma ti obbliga a lavorare isolato per il restante del tempo</t>
  </si>
  <si>
    <t xml:space="preserve">36 o più</t>
  </si>
  <si>
    <t xml:space="preserve">England, Bristol</t>
  </si>
  <si>
    <t xml:space="preserve">Data Scientist</t>
  </si>
  <si>
    <t xml:space="preserve">Con coinquilini</t>
  </si>
  <si>
    <t xml:space="preserve">Wake up 8:50am. Start work at 9am. Break for lunch at 12. Stop at 5:30pm.</t>
  </si>
  <si>
    <t xml:space="preserve">No habits at the end or beginning </t>
  </si>
  <si>
    <t xml:space="preserve">Rarely does. It was tiring.</t>
  </si>
  <si>
    <t xml:space="preserve">Canali di chat informali (es. #random su Slack), Non interagisco oltre il lavoro</t>
  </si>
  <si>
    <t xml:space="preserve">Very positively. It gives me more time and energy to socialise.</t>
  </si>
  <si>
    <t xml:space="preserve">Never.</t>
  </si>
  <si>
    <t xml:space="preserve">Switch off my laptop.</t>
  </si>
  <si>
    <t xml:space="preserve">Blocchi nel calendario, App per conoscere persone (es. Meetup), Un dispositivo o account separato per il lavoro</t>
  </si>
  <si>
    <t xml:space="preserve">No, always had a good boundary I think</t>
  </si>
  <si>
    <t xml:space="preserve">Harder to get to know your colleagues on a personally level.</t>
  </si>
  <si>
    <t xml:space="preserve">Yes. I spend more time on leisure since I have more time available.</t>
  </si>
  <si>
    <t xml:space="preserve">Sometimes work gets busy with certain projects. I didn't do anything to help, I just got through it.</t>
  </si>
  <si>
    <t xml:space="preserve">Always be responsive and present. Easy to be invisible when people can't see you in person.</t>
  </si>
  <si>
    <t xml:space="preserve">If would consider hybrid if I changed jobs. As long as the commute was small.</t>
  </si>
  <si>
    <t xml:space="preserve">Roma</t>
  </si>
  <si>
    <t xml:space="preserve">Programmatore </t>
  </si>
  <si>
    <t xml:space="preserve">Oggi ho iniziato alle 8.30 staccato alle 14.30 per pranzare,  ho ripreso alle 15 e staccherò per le 18.30 </t>
  </si>
  <si>
    <t xml:space="preserve">Nervoso </t>
  </si>
  <si>
    <t xml:space="preserve">Più tempo per me, più spesso chiuso in casa</t>
  </si>
  <si>
    <t xml:space="preserve">Non mi capita perchè me ne strafotto. Se finisco tardi il giorno dopo inizio tardi. Mantengo mediamente sempre le 8 ore di lavoro anche se ci sono giorni in cui lavoro di più</t>
  </si>
  <si>
    <t xml:space="preserve">Darmi degli obiettivi</t>
  </si>
  <si>
    <t xml:space="preserve">No mai</t>
  </si>
  <si>
    <t xml:space="preserve">Personalmente non cambio nulla </t>
  </si>
  <si>
    <t xml:space="preserve">Francia, paesello sperduto in Alta Provenza alternandolo con la Liguria (comune di Sassello)</t>
  </si>
  <si>
    <t xml:space="preserve">Architect (sysadmin)</t>
  </si>
  <si>
    <t xml:space="preserve">Occasionalmente</t>
  </si>
  <si>
    <t xml:space="preserve">svegliato: 8, pausa 12-13, finito poco fa. In casa, ho parlato con vari soggetti colleghi e non da remoto.</t>
  </si>
  <si>
    <t xml:space="preserve">Nulla di speciale, orologio e stanza ufficio a parte.</t>
  </si>
  <si>
    <t xml:space="preserve">qui c'è una postilla, come contratto sarei dirigente (cadre sup) quindi NON ho un orario stabilito, sull'invadere non molto comunque, per ora le emergenze vere sono rare. Quando sono accadute erano giustificate quindi beh, era parte del lavoro.</t>
  </si>
  <si>
    <t xml:space="preserve">Canali di chat informali (es. #random su Slack), VoIP, occasionali eventi (conferenze, cene o pranzi)</t>
  </si>
  <si>
    <t xml:space="preserve">mi ha permesso di lasciare la grande città per la montagna, dove si è numericamente meno ma si è animali sociali e non già ratti nell'esperimento di Calhoun (fogna del comportamento) isolati nella folla. Quindi direi che l'ha largamente migliorata. Ovviamente NON lo avrebbe fatto restando in appartamento, li chiuso in scatola penso avrei sofferto. Qui sono sul terrazzo in mezzo ai pini aprendo la porta "dell'ufficio" o aprendo quella di casa in giardino. Si fanno eventi nelle rispettive case secondo meteo/stagione e ci sono un po' di attività sul territorio, a differenza della Liguria e Italia in genere che è largamente MORTA fuori dalle città per urbanocentrismo. Non è in altri termini la natura del luogo ma il diverso stile di vita della popolazione a far la differenza.</t>
  </si>
  <si>
    <t xml:space="preserve">Non mi capita perché sono in un ambiente in cui si è sociali, ci si passa i pargoli tra le case, i nonni portano a spasso i più piccoli, gli altri van da soli e persino I CANI e i gatti sono sociali, vanno in giro da soli e si fan coccolare da tutti (se vi capita chessò di andare a Mons lo vedrete alla perfezione coi gatti nel centro del paesello).</t>
  </si>
  <si>
    <t xml:space="preserve">Stanza ufficio, essenzialmente.</t>
  </si>
  <si>
    <t xml:space="preserve">Un dispositivo o account separato per il lavoro</t>
  </si>
  <si>
    <t xml:space="preserve">Mai provato.</t>
  </si>
  <si>
    <t xml:space="preserve">L'ignoranza crassa IT che porta ancora avanti tante inefficienze economicamente ed umanamente insostenibili. Anche nelle aziende dove si fa telelavoro, dove c'è sempre qualcuno che non vuole capire e porta avanti modelli del passato spammando il mondo e complicando la vita al suo prossimo.</t>
  </si>
  <si>
    <t xml:space="preserve">Beh i primissimi tempi ero più "preoccupato d'esser sul pezzo", poi si è stabilito il ritmo e le cose sono andate senza frizione con pure un aumento della produttività, non una diminuzione.</t>
  </si>
  <si>
    <t xml:space="preserve">Cantiere di casa in ritardo, problemi con alcune ditte mi han reso scomoda la vita tra una VMC che ronzava montata male e piccoli altri problemi, ma diciamo molto materiali.</t>
  </si>
  <si>
    <t xml:space="preserve">Anche chi fa IT spesso NON HA le basi dell'IT per lavorare con efficienza, ha come un rigetto mentale di dashboard, ticketing, cultura documentale, che rende scomodo il lavoro poco importa se in presenza o a distanza, è proprio un paradigma diverso che un tempo era la norma e non poteva esser diversamente per vari motivi, oggi dovrebbe esser superato ma per molti ancora non lo è.</t>
  </si>
  <si>
    <t xml:space="preserve">MAI, MAI e poi MAI.</t>
  </si>
  <si>
    <t xml:space="preserve">Non per i 35 ma più per i 30, prima uscivo di più, facevo tardi la notte, facevo feste and co, poi pian piano anche il mio gruppo d'amici tra bambini e impegni questo si è gradualmente ridotto e ha cambiato di conseguenza il modo di organizzare la vita. Non è specialmente legato al lavoro però il lavoro fa parte dello schema, fa parte dello schema esser lucido, aver una diversa responsabilità e questo influenza l'work-life balance.</t>
  </si>
  <si>
    <t xml:space="preserve">In una relazione complicata si comincia a (ri)parlare di convivenza e figli e il remoto aiuta assai in ciò. Quindi questioni umane di coppia a parte (complicate come sempre e pure di più) il telelavoro dà una gran mano.</t>
  </si>
  <si>
    <t xml:space="preserve">L'aver natura, bassa densità abitativa aiuta, essere in una zona turistica di un certo pregio aiuta, anche i residenti sono largamente internazionali, di difficile c'è solo da ex globetrotter con amici sparsi nel mondo il vedersi in persona, viaggio di meno, prima facevo miglia su miglia per tanti motivi, ora siamo tutti largamente accasati e non abbiamo più tanta voglia di passar frontiere e gestire vettori che sono sempre peggio come qualità.</t>
  </si>
  <si>
    <t xml:space="preserve">In effetti il grosso delle cerchie ristrette di amici telelavora, quindi no, non ho ritmi diversi che si mettano in mezzo.</t>
  </si>
  <si>
    <t xml:space="preserve">Rifiutare categoricamente la presenza fisica in ufficio, uno spreco inaccettabile per me sotto ogni aspetto.</t>
  </si>
  <si>
    <t xml:space="preserve">Beh, principalmente nessuno si sogna di richiamarmi in ufficio, resta per alcuni l'idea che chi lavora da remoto non lavora davvero, ma assai meno presente, non ci sono più granché inquietudini di carriera, avrò ancora avanzamenti ma alla fine anche cambiando lavoro mi cambia il login, non il luogo fisico, l'ambiente, l'itinere ecc.
Da giovani ancora oggi c'è sospetto, spesso problemi di comprensione di cosa sia il lavoro, molti lo vivono come l'università, e una certa difficoltà IT, i giovani NON sono informatizzati, sono meno peggio dei sessantenni medi, ma sono mediamente assai mal messi in termini di basi, non riescono a capire perché devono studiare davvero come usare un desktop e come lavorare, abituati ad un mondo di webapp e mobile. L'assenza di IT insegnato a scuola, anche ad Ing. Informatica, Informatica, pesa tantissimo.</t>
  </si>
  <si>
    <t xml:space="preserve">2–10 anni</t>
  </si>
  <si>
    <t xml:space="preserve">la possibilità di farlo. Nulla di più. L'avrei fatto dall'inizio.</t>
  </si>
  <si>
    <t xml:space="preserve">Solo ignoranza IT, incapacità di riflettere autonomamente e agire prendendosi la propria responsabilità. Oggi i neolaureati medi han la stessa attitudine dell'ultimo degli operai di 15 anni fa. Non capiscono che il loro ruolo domanda una certa capacità d'azione autonoma, che non tutto è consequenziale né va come previsto, che serve anche iniziativa, non puro conformismo, esitazione, scarsa attenzione, in ultima analisi catena di montaggio.
Non si tratta per chi è in team remoti come il mio caso di quiet quitting, si tratta proprio di mancanza di comprensione del proprio ruolo.</t>
  </si>
  <si>
    <t xml:space="preserve">Si, regolarmente. Avviene onestamente meglio che in presenza SE si ha un'infra IT adeguata, desktop remoto e VoIP con bottiglietta da conferenza in stanza ufficio permettono di formarsi assai meglio che "sbirciare dalla scrivania", il problema è che molti non han la stanza ufficio, non han un ambiente per la bottiglietta da conferenza, spesso non capiscono perché servono e han paura a muoversi dalla città se casomai fossero richiamati in ufficio. Questo è abbastanza un ostacolo. Molti giovani ad es. non riescono a capire che è impensabile lavorare su laptop con la tastiera e lo schermo di questi. Non capiscono perché gli serve una postazione vera, la stanza ufficio, poi lamentano che fan male gli occhi, che fa male la schiena, sono stressati ecc per mancanza di attrezzature che nel presente oggettivamente nessuna azienda è interessata a dare ma neanche a chiedere perché diventerebbe troppo selettiva verso profili junior.</t>
  </si>
  <si>
    <t xml:space="preserve">Comportamento adulto a parte direi nulla di speciale.</t>
  </si>
  <si>
    <t xml:space="preserve">Energia e sonno ben migliori, movimento è un ni. Ni nel senso che sono nella natura, ho da seguire il giardino, gestire il bosco, esercizio fisico ne faccio, ma la voglia di scappare dalla città per far sport non c'è più non essendoci più la città. La postura direi che sia migliorata per una mera questione di postazione degna.</t>
  </si>
  <si>
    <t xml:space="preserve">Assolutamente a mio agio. Poco a mio agio solo con chi non capisce come usare questi strumenti, ci sono giovani ad es. che HAN PAURA di disturbare a mandare una mail o chiamare quando serve, mentre magari trovano normale spammare in chat o non curarsi dello stato che han impostato. Ma non è lo strumento digitale il problema, è l'umano che non capisce come usarlo.</t>
  </si>
  <si>
    <t xml:space="preserve">Penso che la sola differenza sia il momento ed il modo in cui mi sono avvicinato all'IT, non per lavoro ma nella vita privata di adolescente, rispetto ai giovani d'oggi. Sono ancora nato sul desktop FLOSS, oggi i più sono nati su tablet e passano a laptop, pochissimi arrivano al desktop prima del lavoro e non sono conseguentemente abituati ad un certo tipo di interazione. Per loro il computer è un soprammobile sempre disponibile, non un macchinario da usare seriamente in un luogo specifico.</t>
  </si>
  <si>
    <t xml:space="preserve">Nulla mi manca onestamente...</t>
  </si>
  <si>
    <t xml:space="preserve">Beh, sono rimasto in contatto con alcuni dall'università, con alcuni dal lavoro globetrotterando, altri si sono aggiunti in loco, se proprio devo far una differenza l'aver lasciato la città mi ha tolto un po' la presenza fisica di persone di cultura medio-alta aumentando quelle di cultura medio-bassa, però questo sta poco alla volta cambiando man mano che aumentano i telelavoratori in loco. Dal lavoro i contatti sono più "professionali" che realmente amicali, ma ho sempre cercato di evitare di mescolare troppo i colleghi che non scelgo con gli amici che scelgo.</t>
  </si>
  <si>
    <t xml:space="preserve">Poco. Ho genitori anziani che iniziano ad aver bisogno d'assistenza, e questo pesa, il telelavoro aiuta ma non c'è un'influenza specifica.</t>
  </si>
  <si>
    <t xml:space="preserve">Nel tempo, ma parlo di almeno 5-8 anni di telelavoro, si è rilassati da così tanto che l'idea di vestirsi formalmente dà fastidio. Giacca&amp;cravatta prima magari comuni diventano fastidiosi, un certo tipo di interazione formale diventa fastidioso, questo però resta ancora per chi vive "nel mondo classico" e può creare un minimo di frizione specie quando non si capisce e non si gestisce la cosa. Il remoto rende più facile interagire anche con soggetti difficili, ma al contempo fa scendere la tolleranza a questi in contesti di presenza.</t>
  </si>
  <si>
    <t xml:space="preserve">rdtdiscuss@kfx.fr</t>
  </si>
  <si>
    <t xml:space="preserve">AI engineer e Data Scientist</t>
  </si>
  <si>
    <t xml:space="preserve">Quella di oggi: ho parlato con i miei genitori e dei colleghi
In genere faccio pausa a metà mattina, post pranzo e pomeriggio: generalmente faccio un rapporto tipo 1 ora lavoro - 5/10 minuti pausa </t>
  </si>
  <si>
    <t xml:space="preserve">Sveglia, sistemo letto, colazione per iniziare
Poi combo caffè + sigaretta (e sapete come va a finire) per dare inizio
Per la fine, non ho particolari rituali: chiudo tutto e via </t>
  </si>
  <si>
    <t xml:space="preserve">Cerco di non farlo: non ne vale la pena 
Quelle poche volte che l’ho fatto ho avuto una grande sensazione di “peso” inutile e ingiustificato </t>
  </si>
  <si>
    <t xml:space="preserve">Canali di chat informali (es. #random su Slack), Incontri dal vivo, retreat o offsite, Vedo alcuni colleghi in privato, come amici</t>
  </si>
  <si>
    <t xml:space="preserve">Beh, semplicemente, vivendo con i miei, in un paese della Sicilia, ho praticamente zero spese “inutili”, come affitto ecc.
Questo mi sta permettendo di concentrarmi su altro, come ristrutturazione della casa (di proprietà) e matrimonio </t>
  </si>
  <si>
    <t xml:space="preserve">Nulla di particolare, diciamo che mi impongo degli “obblighi “: uno di questi è ad esempio andare ad allenarmi </t>
  </si>
  <si>
    <t xml:space="preserve">Blocchi nel calendario</t>
  </si>
  <si>
    <t xml:space="preserve">In realtà nulla: l’unica cosa che vorrei è sicuramente più garanzie: nell’ultima esperienza lavorativa sono stato costretto a dimettermi in quanto è stata presa la decisione della revoca dell’accordo del lavoro da remoto, imponendomi un ibrido al nord ( e di conseguenza un trasferimento)</t>
  </si>
  <si>
    <t xml:space="preserve">Ho sempre lavorato full-remote </t>
  </si>
  <si>
    <t xml:space="preserve">No in realtà no </t>
  </si>
  <si>
    <t xml:space="preserve">Si, solo ed esclusivamente nel caso in cui l’ufficio non è lontano ore</t>
  </si>
  <si>
    <t xml:space="preserve">Vico del Gargano (FG)</t>
  </si>
  <si>
    <t xml:space="preserve">Sviluppatore Software</t>
  </si>
  <si>
    <t xml:space="preserve">Sveglia alle 6:30, palestra, attacco a lavorare alle 9, treno di call varie, poi sviluppo. Più che altro una pausa caffé e qualche pausa bagno. Pausa pranzo alle 13 cucino e mangio, sto al telefono con la mia compagna. Riattacco alle 14, altro lavoro, ca con il mio manager, chiudo alle 18. Qualche faccenda di casa, vado a far la spesa, vado a cenare dai miei genitori. Torno a casa, controllo le ultime modifiche della mia AI al mio progetto personale e le dò lavoro da fare per le prossime 24h. Letto.</t>
  </si>
  <si>
    <t xml:space="preserve">Nei giorni di palestra vado in palestra al mattino.</t>
  </si>
  <si>
    <t xml:space="preserve">Normale. C'era un'emergenza vera ed ero l'unico che poteva gestirla in tempi utili. Per fortuna non avevo nulla di particolare da fare. Ma se fossi stato impegnato non sarei intervenuto io, e il mondo non sarebbe crollato comunque.</t>
  </si>
  <si>
    <t xml:space="preserve">Incontri dal vivo, retreat o offsite</t>
  </si>
  <si>
    <t xml:space="preserve">Mi ha fornito le garanzie di vicinanza alla mia famiglia e soprattutto alla mia compagna, con cui presto andrò a convivere, con il progetto di costruire una famiglia.</t>
  </si>
  <si>
    <t xml:space="preserve">Non mi capita. Mi protegge il fatto che le persone a cui tengo sono vicine. Sono poche ma sono importanti.</t>
  </si>
  <si>
    <t xml:space="preserve">Chiudo il mac, lascio il telefono aziendale a casa.</t>
  </si>
  <si>
    <t xml:space="preserve">Fitness tracker o app sportive, Un dispositivo o account separato per il lavoro</t>
  </si>
  <si>
    <t xml:space="preserve">No, non credo di aver provato nulla in questo senso.</t>
  </si>
  <si>
    <t xml:space="preserve">Il problema principale del lavoro da remoto è che non esistono garanzie contrattuali nella legislazione italiana: la preoccupazione di perdere da un momento all'altro questo livello di benessere e soprattutto la vicinanza ai miei famigliari, per colpa di qualche cieca politica RTO o soft layoff, è ciò che mi dà più ansia in questo momento. Voglio avere la sicurezza di poter costruire una vita qui senza dover rinunciare alla mia carriera da un momento all'altro.</t>
  </si>
  <si>
    <t xml:space="preserve">Cava de' Tirreni</t>
  </si>
  <si>
    <t xml:space="preserve">senior consultant</t>
  </si>
  <si>
    <t xml:space="preserve">sveglia, doccia, lavoro, pranzo, lavoro</t>
  </si>
  <si>
    <t xml:space="preserve">bo</t>
  </si>
  <si>
    <t xml:space="preserve">male</t>
  </si>
  <si>
    <t xml:space="preserve">Non interagisco oltre il lavoro</t>
  </si>
  <si>
    <t xml:space="preserve">più tempo libero da dedicare ai miei hobby</t>
  </si>
  <si>
    <t xml:space="preserve">alle 18 spengo il pc</t>
  </si>
  <si>
    <t xml:space="preserve">Non disturbare o orari per le notifiche</t>
  </si>
  <si>
    <t xml:space="preserve">no</t>
  </si>
  <si>
    <t xml:space="preserve">maggiore flessibilità oraria</t>
  </si>
  <si>
    <t xml:space="preserve">Milano</t>
  </si>
  <si>
    <t xml:space="preserve">Sviluppatore automazioni</t>
  </si>
  <si>
    <t xml:space="preserve">Lavoro solitamente sempre da casa, dove ho una postazione dedicata, raramente lavoro da bar o coworking se ho necessità (esempio se mi trovo fuori città). Sveglia per le 8/8:30, a volte passeggiata con cane prima di iniziare a lavorare, inizio a lavorare per le 9:30/10, pause caffe a metà mattinata e pausa pranzo (generalmente con la mia partner) verso le 13, riprendo a lavorare verso le 14 e finisco verso le 18:30/19. </t>
  </si>
  <si>
    <t xml:space="preserve">Nessun rituale particolare, solitamente subito dopo la fine del lavoro faccio una lunga passeggiata col cane</t>
  </si>
  <si>
    <t xml:space="preserve">Non succede quasi mai, quando succede solitamente non mi pesa perché non è mai un’ingerenza da parte di azienda o colleghi ma piuttosto io che mi porto avanti col lavoro e riorganizzo il tempo di lavoro, soprattutto quando so che in giornata ho lavorato meno tempo del previsto o che il giorno successivo ho impegni personali e vorrò staccare prima o iniziare più tardi.</t>
  </si>
  <si>
    <t xml:space="preserve">Premesso che non tornerei mai indietro. Aspetti negativi sicuramente un rischio di maggiore isolamento sociale e possibile “abbrutimento” casalingo (stare tutto il giorno in pigiama o simili, non avere chiari confini tra spazio personale e lavorativo, etc).
Aspetti positivi molti di più: zero tempo di commuting e molto più tempo per me (non solo risparmio tempo per il tragitto casa-lavoro, ma in generale ho orari molto più flessibili), possibilità di viaggiare e lavorare lontano dalla sede di lavoro (inclusi periodi di lavoro da remoto da casa di familiari e genitori, che vivono lontani e non devo “sprecare” ferie per passare dei giorni/settimane con loro), in generale meno stress correlato agli aspetti “logistici” del lavoro (traffico o mezzi affollati, colleghi non necessariamente piacevoli con cui sei costretto a passare tempo, richieste di formalità nel vestiario, etc)</t>
  </si>
  <si>
    <t xml:space="preserve">Non mi capita mai. Convivo e ho un’ottima rete sociale al di fuori del lavoro. Aiuta molto anche avere un cane che ogni giorno mi “costringe” a uscire e fare lunghe passeggiate.</t>
  </si>
  <si>
    <t xml:space="preserve">Fuori dall’orario di lavoro, silenzio tutte le notifiche relative al lavoro.</t>
  </si>
  <si>
    <t xml:space="preserve">Blocchi nel calendario, Timer di concentrazione / Pomodoro, Non disturbare o orari per le notifiche, Fitness tracker o app sportive</t>
  </si>
  <si>
    <t xml:space="preserve">No, mai successo </t>
  </si>
  <si>
    <t xml:space="preserve">L’unica cosa che vorrei migliorare è praticare più spesso stretching e fare più spesso pause in cui mi alzo e cammino (per evitare dolori posturali)</t>
  </si>
  <si>
    <t xml:space="preserve">Lavoro con persone a 1–3 ore di differenza di fuso</t>
  </si>
  <si>
    <t xml:space="preserve">Penso di aver migliorato la separazione tra lavoro e vita privata, e di aver migliorato la capacità di restare concentrato a lavoro </t>
  </si>
  <si>
    <t xml:space="preserve">Maggiore “serietà” e concentrazione sul lavoro: ho trovato un’azienda “sana” e in cui mi sento valorizzato, che premia i risultati e non il tempo passato alla scrivania.
Maggiore necessità di passare del tempo con la famiglia d’origine (per questioni da gestire), che posso fare facilmente grazie al l’abito da remoto.</t>
  </si>
  <si>
    <t xml:space="preserve">Più facile: passioni comuni che richiedono socialità (giochi da tavolo)
Più difficile: l’aumento delle responsabilità che riduce il tempo da dedicare alle amicizie (gestione domestica e finanziaria, cani o figli per chi li ha…)</t>
  </si>
  <si>
    <t xml:space="preserve">Non influisce troppo, perché comunque ci si vede la sera o nei weekend. </t>
  </si>
  <si>
    <t xml:space="preserve">Più sport</t>
  </si>
  <si>
    <t xml:space="preserve">Conosco pro e contro di entrambi i mondi, il che mi permette di riconoscere quel che è meglio per le mie esigenze.</t>
  </si>
  <si>
    <t xml:space="preserve">Cambio di azienda</t>
  </si>
  <si>
    <t xml:space="preserve">Non ho mai notato nulla di simile</t>
  </si>
  <si>
    <t xml:space="preserve">Certo, con messaggi o videochiamate </t>
  </si>
  <si>
    <t xml:space="preserve">Un bel mix. Di per sé probabilmente ha peggiorato movimento e postura, ma mi ha anche permesso di prendere un cane, che invece migliora questi aspetti. In generale, provo a fare sport (non essendo mai stato uno sportivo)</t>
  </si>
  <si>
    <t xml:space="preserve">Molto a mio agio</t>
  </si>
  <si>
    <t xml:space="preserve">I colleghi più giovani non conoscono la  differenza, potrebbero sottovalutare pro e contro del lavoro da remoto, e forse fare più fatica a staccare (non avendo mai avuto l’esperienza di allontanarsi fisicamente dal lavoro)</t>
  </si>
  <si>
    <t xml:space="preserve">Mi manca il rapporto con alcuni colleghi e la mensa aziendale (non dover pensare a cucinare il pranzo). Non mi manca per niente il tragitto casa-lavoro, il micro-management dei superiori, le interazioni “forzate” e non richieste che ti rompono il focus e rallentano i tempi</t>
  </si>
  <si>
    <t xml:space="preserve">Passioni comuni, conoscenze da scuola e università. Mi è capitato che alcuni amici (che vedevo anche fuori dall’ufficio) fossero persone che ho conosciti a lavoro, ma attualmente nessuno degli amici che frequento proviene dall’ambito lavorativo </t>
  </si>
  <si>
    <t xml:space="preserve">Faccio colazione, bagno, se il gatto si presenta alla finestra parlo con lui, poi riunioni e riunioni e ancora riunioni</t>
  </si>
  <si>
    <t xml:space="preserve">No. Alle 8.30 accendo Teams, alle 17.30 lo chiudo tranne in rare occasioni</t>
  </si>
  <si>
    <t xml:space="preserve">Inizio carriera 8+ anni fa: cliente non gestito dai superiori, mole di lavoro sproporzionata e un'altra commessa che ha bloccato completamente il mio tempo d'ufficio quando dovevo finire il lavoro per il suddetto cliente. Alla fine mi portavo il lavoro a casa</t>
  </si>
  <si>
    <t xml:space="preserve">Canali di chat informali (es. #random su Slack), Vedo alcuni colleghi in privato, come amici</t>
  </si>
  <si>
    <t xml:space="preserve">Non ero uno socievole prima, non lo sono ora. È cambiato che adesso devo un po' impormi di uscire e fare attività, soprattutto nei weekend</t>
  </si>
  <si>
    <t xml:space="preserve">Non mi sento isolato. Vedere gli amici anche una sola volta a settimana nel weekend per me è sufficiente</t>
  </si>
  <si>
    <t xml:space="preserve">Spengo telefono e PC aziendale</t>
  </si>
  <si>
    <t xml:space="preserve">Timer di concentrazione / Pomodoro, Non disturbare o orari per le notifiche</t>
  </si>
  <si>
    <t xml:space="preserve">Si, smesso perchè nella mia zona in montagna qualsiasi app non ha utenti</t>
  </si>
  <si>
    <t xml:space="preserve">Le riunioni sono aumentate in modo non proporzionale alle effettive esigenze. Quindi meno riunioni e più blocchi di concentrazione</t>
  </si>
  <si>
    <t xml:space="preserve">All'inizio uscivo meno nei weekend</t>
  </si>
  <si>
    <t xml:space="preserve">Che non ti stanno facendo un regalo, perciò non dannarsi a dare sempre il 120% solo perchè puoi lavorare da casa</t>
  </si>
  <si>
    <t xml:space="preserve">Lavoro ibrido valuterei se per una posizione davvero interessante ma nel mio caso qualsiasi posizione in ufficio implicherebbe dover affrontare più di 2 ore di auto o direttamente un trasloco. C'è stato un periodo che avevo più voglia di trasferirmi a prescindere dal tipo di contratto per motivi personali</t>
  </si>
  <si>
    <t xml:space="preserve">Arrivare al lavoro a piedi è forse una delle cose che mi manca di più. Univa una cosa che comunque avrei dovuto fare a qualcosa che migliora la salute che ora devo necessariamente impormi di fare</t>
  </si>
  <si>
    <t xml:space="preserve">Codice</t>
  </si>
  <si>
    <t xml:space="preserve">Etichetta</t>
  </si>
  <si>
    <t xml:space="preserve">Descrizione</t>
  </si>
  <si>
    <t xml:space="preserve">N. segmenti</t>
  </si>
  <si>
    <t xml:space="preserve">C01</t>
  </si>
  <si>
    <t xml:space="preserve">Routine mattutina e caffè</t>
  </si>
  <si>
    <t xml:space="preserve">Include sveglia, colazione, caffè, igiene personale e piccole faccende domestiche prima di iniziare a lavorare.</t>
  </si>
  <si>
    <t xml:space="preserve">C02</t>
  </si>
  <si>
    <t xml:space="preserve">Attività fisica, sport e movimento</t>
  </si>
  <si>
    <t xml:space="preserve">Include palestra, sport, passeggiate all'aperto (anche con il cane), ripresa dell'attività fisica, stretching e pause attive.</t>
  </si>
  <si>
    <t xml:space="preserve">C03</t>
  </si>
  <si>
    <t xml:space="preserve">Riunioni e coordinamento sincrono</t>
  </si>
  <si>
    <t xml:space="preserve">Include call, daily, riunioni e allineamenti con colleghi o team, e la richiesta di ridurne il numero.</t>
  </si>
  <si>
    <t xml:space="preserve">C04</t>
  </si>
  <si>
    <t xml:space="preserve">Lavoro individuale e concentrazione</t>
  </si>
  <si>
    <t xml:space="preserve">Include lo svolgimento di task, sviluppo, monitoraggio e lavoro autonomo al computer, e la tutela di blocchi di concentrazione.</t>
  </si>
  <si>
    <t xml:space="preserve">C05</t>
  </si>
  <si>
    <t xml:space="preserve">Pause e pausa pranzo</t>
  </si>
  <si>
    <t xml:space="preserve">Include pause caffè, spuntini, micro-interruzioni, preparazione e consumo del pasto di metà giornata.</t>
  </si>
  <si>
    <t xml:space="preserve">C06</t>
  </si>
  <si>
    <t xml:space="preserve">Convivenza e famiglia</t>
  </si>
  <si>
    <t xml:space="preserve">Include interazioni, pasti o telefonate con partner, genitori e familiari, e la possibilità di stare più vicino ai propri cari.</t>
  </si>
  <si>
    <t xml:space="preserve">C07</t>
  </si>
  <si>
    <t xml:space="preserve">Postazione e spazio fisico di lavoro</t>
  </si>
  <si>
    <t xml:space="preserve">Include stanza o studio dedicato, spazi domestici condivisi, coworking e il non entrare nello spazio di lavoro fuori orario.</t>
  </si>
  <si>
    <t xml:space="preserve">C08</t>
  </si>
  <si>
    <t xml:space="preserve">Orari, impegni vincolanti e obiettivi</t>
  </si>
  <si>
    <t xml:space="preserve">Include orari di inizio e fine, chiusura a compiti completati, definizione di obiettivi e impegni personali (es. allenamento) che segnano lo stacco.</t>
  </si>
  <si>
    <t xml:space="preserve">C09</t>
  </si>
  <si>
    <t xml:space="preserve">Rituali tecnologici e disconnessione digitale</t>
  </si>
  <si>
    <t xml:space="preserve">Include accensione e spegnimento di PC e telefono aziendale, apertura e chiusura di app lavorative, silenziamento delle notifiche.</t>
  </si>
  <si>
    <t xml:space="preserve">C10</t>
  </si>
  <si>
    <t xml:space="preserve">Distacco mentale e assenza di separazione rigida</t>
  </si>
  <si>
    <t xml:space="preserve">Include dichiarazioni di non avere rituali o separazioni attive, tolleranza della sovrapposizione tra lavoro e vita privata, distacco mentale immediato a fine giornata.</t>
  </si>
  <si>
    <t xml:space="preserve">C11</t>
  </si>
  <si>
    <t xml:space="preserve">Flessibilità, tempo libero e tempo personale</t>
  </si>
  <si>
    <t xml:space="preserve">Include relax, hobby, svago, maggiore tempo per sé e richiesta di orari di lavoro più flessibili.</t>
  </si>
  <si>
    <t xml:space="preserve">C12</t>
  </si>
  <si>
    <t xml:space="preserve">Risparmio di tempo e di costi</t>
  </si>
  <si>
    <t xml:space="preserve">Include azzeramento o riduzione del pendolarismo e abbattimento di spese (trasporti, affitto, pranzi fuori).</t>
  </si>
  <si>
    <t xml:space="preserve">C13</t>
  </si>
  <si>
    <t xml:space="preserve">Socialità extra-lavorativa e amicizie</t>
  </si>
  <si>
    <t xml:space="preserve">Include tempo ed energie per frequentare amici, vita sociale serale e ampliamento della rete sociale.</t>
  </si>
  <si>
    <t xml:space="preserve">C14</t>
  </si>
  <si>
    <t xml:space="preserve">Rilocalizzazione e mobilità geografica</t>
  </si>
  <si>
    <t xml:space="preserve">Include il trasferimento dalla grande città verso piccoli centri o luoghi d'origine e la libertà di viaggiare o lavorare da luoghi diversi.</t>
  </si>
  <si>
    <t xml:space="preserve">C15</t>
  </si>
  <si>
    <t xml:space="preserve">Relazioni con i colleghi</t>
  </si>
  <si>
    <t xml:space="preserve">Include la minore socializzazione con i colleghi, il desiderio di rapporti più informali e di incontri periodici dal vivo.</t>
  </si>
  <si>
    <t xml:space="preserve">C16</t>
  </si>
  <si>
    <t xml:space="preserve">Isolamento e sforzo di socialità</t>
  </si>
  <si>
    <t xml:space="preserve">Include solitudine, confinamento domestico e necessità di imporsi di uscire o cercare occasioni sociali fuori dall'orario di lavoro.</t>
  </si>
  <si>
    <t xml:space="preserve">C17</t>
  </si>
  <si>
    <t xml:space="preserve">Garanzie contrattuali e stabilità</t>
  </si>
  <si>
    <t xml:space="preserve">Include la richiesta di tutele normative e contrattuali contro la revoca del lavoro da remoto o l'imposizione del rientro in sede.</t>
  </si>
  <si>
    <t xml:space="preserve">C18</t>
  </si>
  <si>
    <t xml:space="preserve">Efficienza organizzativa</t>
  </si>
  <si>
    <t xml:space="preserve">Include la critica a modelli manageriali obsoleti o a comunicazioni dispersive che ostacolano il lavoro a distanza.</t>
  </si>
  <si>
    <t xml:space="preserve">C19</t>
  </si>
  <si>
    <t xml:space="preserve">Soddisfazione e nessun cambiamento desiderato</t>
  </si>
  <si>
    <t xml:space="preserve">Include dichiarazioni di piena soddisfazione dello stato attuale o assenza di bisogno di cambiare qualcosa.</t>
  </si>
  <si>
    <t xml:space="preserve">ALTRO</t>
  </si>
  <si>
    <t xml:space="preserve">Contenuto pertinente non codificato</t>
  </si>
  <si>
    <t xml:space="preserve">Include contenuti pertinenti che non rientrano nei codici C01–C19.</t>
  </si>
  <si>
    <t xml:space="preserve">NP</t>
  </si>
  <si>
    <t xml:space="preserve">Risposta non pertinente, vuota o non informativa</t>
  </si>
  <si>
    <t xml:space="preserve">Include risposte prive di contenuto informativo (es. «bo», «No», «N/A», «Non saprei») o lasciate vuote.</t>
  </si>
  <si>
    <t xml:space="preserve">Riga</t>
  </si>
  <si>
    <t xml:space="preserve">Risposta</t>
  </si>
  <si>
    <t xml:space="preserve">Codici (separati da virgola)</t>
  </si>
  <si>
    <t xml:space="preserve">Etichette dei codici</t>
  </si>
  <si>
    <t xml:space="preserve">Colonna di origine (solo tracciabilità)</t>
  </si>
  <si>
    <t xml:space="preserve">C04, C02, C05</t>
  </si>
  <si>
    <t xml:space="preserve">Lavoro individuale e concentrazione, Attività fisica, sport e movimento, Pause e pausa pranzo</t>
  </si>
  <si>
    <t xml:space="preserve">K</t>
  </si>
  <si>
    <t xml:space="preserve">L</t>
  </si>
  <si>
    <t xml:space="preserve">W</t>
  </si>
  <si>
    <t xml:space="preserve">Y</t>
  </si>
  <si>
    <t xml:space="preserve">AB</t>
  </si>
  <si>
    <t xml:space="preserve">C03, C04, C06</t>
  </si>
  <si>
    <t xml:space="preserve">Riunioni e coordinamento sincrono, Lavoro individuale e concentrazione, Convivenza e famiglia</t>
  </si>
  <si>
    <t xml:space="preserve">C09, C07</t>
  </si>
  <si>
    <t xml:space="preserve">Rituali tecnologici e disconnessione digitale, Postazione e spazio fisico di lavoro</t>
  </si>
  <si>
    <t xml:space="preserve">C11, C13, C14</t>
  </si>
  <si>
    <t xml:space="preserve">Flessibilità, tempo libero e tempo personale, Socialità extra-lavorativa e amicizie, Rilocalizzazione e mobilità geografica</t>
  </si>
  <si>
    <t xml:space="preserve">C04, C03, C02</t>
  </si>
  <si>
    <t xml:space="preserve">Lavoro individuale e concentrazione, Riunioni e coordinamento sincrono, Attività fisica, sport e movimento</t>
  </si>
  <si>
    <t xml:space="preserve">C11, C13</t>
  </si>
  <si>
    <t xml:space="preserve">Flessibilità, tempo libero e tempo personale, Socialità extra-lavorativa e amicizie</t>
  </si>
  <si>
    <t xml:space="preserve">C07, C06, C08</t>
  </si>
  <si>
    <t xml:space="preserve">Postazione e spazio fisico di lavoro, Convivenza e famiglia, Orari, impegni vincolanti e obiettivi</t>
  </si>
  <si>
    <t xml:space="preserve">C01, C02</t>
  </si>
  <si>
    <t xml:space="preserve">Routine mattutina e caffè, Attività fisica, sport e movimento</t>
  </si>
  <si>
    <t xml:space="preserve">C06, C11, C15</t>
  </si>
  <si>
    <t xml:space="preserve">Convivenza e famiglia, Flessibilità, tempo libero e tempo personale, Relazioni con i colleghi</t>
  </si>
  <si>
    <t xml:space="preserve">C08, C07</t>
  </si>
  <si>
    <t xml:space="preserve">Orari, impegni vincolanti e obiettivi, Postazione e spazio fisico di lavoro</t>
  </si>
  <si>
    <t xml:space="preserve">C03, C07, C08</t>
  </si>
  <si>
    <t xml:space="preserve">Riunioni e coordinamento sincrono, Postazione e spazio fisico di lavoro, Orari, impegni vincolanti e obiettivi</t>
  </si>
  <si>
    <t xml:space="preserve">C04, C03, C08</t>
  </si>
  <si>
    <t xml:space="preserve">Lavoro individuale e concentrazione, Riunioni e coordinamento sincrono, Orari, impegni vincolanti e obiettivi</t>
  </si>
  <si>
    <t xml:space="preserve">C02, C12</t>
  </si>
  <si>
    <t xml:space="preserve">Attività fisica, sport e movimento, Risparmio di tempo e di costi</t>
  </si>
  <si>
    <t xml:space="preserve">C03, C05, C06</t>
  </si>
  <si>
    <t xml:space="preserve">Riunioni e coordinamento sincrono, Pause e pausa pranzo, Convivenza e famiglia</t>
  </si>
  <si>
    <t xml:space="preserve">C09, C08, C10</t>
  </si>
  <si>
    <t xml:space="preserve">Rituali tecnologici e disconnessione digitale, Orari, impegni vincolanti e obiettivi, Distacco mentale e assenza di separazione rigida</t>
  </si>
  <si>
    <t xml:space="preserve">C13, C12, C06</t>
  </si>
  <si>
    <t xml:space="preserve">Socialità extra-lavorativa e amicizie, Risparmio di tempo e di costi, Convivenza e famiglia</t>
  </si>
  <si>
    <t xml:space="preserve">C08, C05, C01</t>
  </si>
  <si>
    <t xml:space="preserve">Orari, impegni vincolanti e obiettivi, Pause e pausa pranzo, Routine mattutina e caffè</t>
  </si>
  <si>
    <t xml:space="preserve">C13, C11</t>
  </si>
  <si>
    <t xml:space="preserve">Socialità extra-lavorativa e amicizie, Flessibilità, tempo libero e tempo personale</t>
  </si>
  <si>
    <t xml:space="preserve">C05, C08, C04</t>
  </si>
  <si>
    <t xml:space="preserve">Pause e pausa pranzo, Orari, impegni vincolanti e obiettivi, Lavoro individuale e concentrazione</t>
  </si>
  <si>
    <t xml:space="preserve">C11, C16</t>
  </si>
  <si>
    <t xml:space="preserve">Flessibilità, tempo libero e tempo personale, Isolamento e sforzo di socialità</t>
  </si>
  <si>
    <t xml:space="preserve">C03, C05, C08</t>
  </si>
  <si>
    <t xml:space="preserve">Riunioni e coordinamento sincrono, Pause e pausa pranzo, Orari, impegni vincolanti e obiettivi</t>
  </si>
  <si>
    <t xml:space="preserve">C08, C07, C10</t>
  </si>
  <si>
    <t xml:space="preserve">Orari, impegni vincolanti e obiettivi, Postazione e spazio fisico di lavoro, Distacco mentale e assenza di separazione rigida</t>
  </si>
  <si>
    <t xml:space="preserve">C14, C13</t>
  </si>
  <si>
    <t xml:space="preserve">Rilocalizzazione e mobilità geografica, Socialità extra-lavorativa e amicizie</t>
  </si>
  <si>
    <t xml:space="preserve">C05, C06, C03</t>
  </si>
  <si>
    <t xml:space="preserve">Pause e pausa pranzo, Convivenza e famiglia, Riunioni e coordinamento sincrono</t>
  </si>
  <si>
    <t xml:space="preserve">C01, C10</t>
  </si>
  <si>
    <t xml:space="preserve">Routine mattutina e caffè, Distacco mentale e assenza di separazione rigida</t>
  </si>
  <si>
    <t xml:space="preserve">C12, C06, C14</t>
  </si>
  <si>
    <t xml:space="preserve">Risparmio di tempo e di costi, Convivenza e famiglia, Rilocalizzazione e mobilità geografica</t>
  </si>
  <si>
    <t xml:space="preserve">C02, C08</t>
  </si>
  <si>
    <t xml:space="preserve">Attività fisica, sport e movimento, Orari, impegni vincolanti e obiettivi</t>
  </si>
  <si>
    <t xml:space="preserve">C17, C19</t>
  </si>
  <si>
    <t xml:space="preserve">Garanzie contrattuali e stabilità, Soddisfazione e nessun cambiamento desiderato</t>
  </si>
  <si>
    <t xml:space="preserve">C03, C04, C11</t>
  </si>
  <si>
    <t xml:space="preserve">Riunioni e coordinamento sincrono, Lavoro individuale e concentrazione, Flessibilità, tempo libero e tempo personale</t>
  </si>
  <si>
    <t xml:space="preserve">C04, C01, C05</t>
  </si>
  <si>
    <t xml:space="preserve">Lavoro individuale e concentrazione, Routine mattutina e caffè, Pause e pausa pranzo</t>
  </si>
  <si>
    <t xml:space="preserve">C09, C08</t>
  </si>
  <si>
    <t xml:space="preserve">Rituali tecnologici e disconnessione digitale, Orari, impegni vincolanti e obiettivi</t>
  </si>
  <si>
    <t xml:space="preserve">C07, C02, C06</t>
  </si>
  <si>
    <t xml:space="preserve">Postazione e spazio fisico di lavoro, Attività fisica, sport e movimento, Convivenza e famiglia</t>
  </si>
  <si>
    <t xml:space="preserve">C02, C10</t>
  </si>
  <si>
    <t xml:space="preserve">Attività fisica, sport e movimento, Distacco mentale e assenza di separazione rigida</t>
  </si>
  <si>
    <t xml:space="preserve">C12, C11, C16</t>
  </si>
  <si>
    <t xml:space="preserve">Risparmio di tempo e di costi, Flessibilità, tempo libero e tempo personale, Isolamento e sforzo di socialità</t>
  </si>
  <si>
    <t xml:space="preserve">C03, C01</t>
  </si>
  <si>
    <t xml:space="preserve">Riunioni e coordinamento sincrono, Routine mattutina e caffè</t>
  </si>
  <si>
    <t xml:space="preserve">C03, C04</t>
  </si>
  <si>
    <t xml:space="preserve">Riunioni e coordinamento sincrono, Lavoro individuale e concentrazione</t>
  </si>
  <si>
    <t xml:space="preserve">Tema</t>
  </si>
  <si>
    <t xml:space="preserve">Descrizione (2–3 frasi)</t>
  </si>
  <si>
    <t xml:space="preserve">Codici inclusi</t>
  </si>
  <si>
    <t xml:space="preserve">N. risposte (senza doppi conteggi)</t>
  </si>
  <si>
    <t xml:space="preserve">2 citazioni di esempio (testuali, tra virgolette)</t>
  </si>
  <si>
    <t xml:space="preserve">Scansione operativa della giornata: lavoro individuale, riunioni e pause</t>
  </si>
  <si>
    <t xml:space="preserve">Questo macro-tema raccoglie il ritmo produttivo della giornata a distanza, scandito dall'alternanza tra lavoro individuale concentrato, riunioni di allineamento e brevi pause o pranzo. La giornata risulta fatta di blocchi sincroni e asincroni, con micro-interruzioni che ne regolano l'intensità. Emerge anche la richiesta di proteggere il tempo di concentrazione dall'eccesso di riunioni.</t>
  </si>
  <si>
    <t xml:space="preserve">C03, C04, C05</t>
  </si>
  <si>
    <t xml:space="preserve">"Call allineamento iniziale, svolgimento task, monitoraggio, allineamento colleghi, verifiche pomeridiane, stacco"
"Le riunioni sono aumentate in modo non proporzionale alle effettive esigenze. Quindi meno riunioni e più blocchi di concentrazione"</t>
  </si>
  <si>
    <t xml:space="preserve">Confini temporali, spaziali e digitali: orari, postazione e disconnessione</t>
  </si>
  <si>
    <t xml:space="preserve">Il macro-tema descrive come si costruiscono i confini tra lavoro e vita privata in assenza del pendolarismo: orari fissi o chiusura a compiti completati, una stanza o postazione dedicata, rituali tecnologici di accensione e spegnimento, silenziamento di notifiche e telefono aziendale. Accanto a questi dispositivi concreti compare un atteggiamento di distacco mentale o di tolleranza della sovrapposizione, in cui la separazione non è formalizzata in rituali.</t>
  </si>
  <si>
    <t xml:space="preserve">C07, C08, C09, C10</t>
  </si>
  <si>
    <t xml:space="preserve">"Ho un luogo adibito solo al lavoro, il mio studio."
"No. Alle 8.30 accendo Teams, alle 17.30 lo chiudo tranne in rare occasioni"</t>
  </si>
  <si>
    <t xml:space="preserve">Cura di sé, tempo restituito e quotidianità</t>
  </si>
  <si>
    <t xml:space="preserve">Questo tema riunisce le pratiche e i benefici legati alla cura di sé: routine mattutine e caffè, attività fisica e passeggiate, tempo libero e flessibilità, risparmio di tempo e di costi grazie all'assenza di spostamenti. Il lavoro da remoto è vissuto come una risorsa che restituisce tempo ed energie per salute, hobby e vita quotidiana, anche se qualcuno segnala la necessità di compensare la sedentarietà.</t>
  </si>
  <si>
    <t xml:space="preserve">C01, C02, C11, C12</t>
  </si>
  <si>
    <t xml:space="preserve">"Posso finalmente riprendere a fare sport dato che non devo sprecare ore di pendolarismo"
"più tempo libero da dedicare ai miei hobby"</t>
  </si>
  <si>
    <t xml:space="preserve">Affetti, amicizie e radicamento territoriale</t>
  </si>
  <si>
    <t xml:space="preserve">Il macro-tema mette in luce lo spostamento della socialità verso la sfera degli affetti: partner, famiglia d'origine e amici di lunga data. La libertà di scegliere dove vivere consente di lasciare le grandi città, tornare nei luoghi d'origine o stare vicino ai propri cari, mentre il tempo e l'energia recuperati alimentano la vita sociale e le relazioni significative.</t>
  </si>
  <si>
    <t xml:space="preserve">C06, C13, C14</t>
  </si>
  <si>
    <t xml:space="preserve">"Mi ha fornito le garanzie di vicinanza alla mia famiglia e soprattutto alla mia compagna, con cui presto andrò a convivere, con il progetto di costruire una famiglia."
"mi ha permesso di lasciare la grande città per la montagna"</t>
  </si>
  <si>
    <t xml:space="preserve">Relazioni professionali e rischio di isolamento</t>
  </si>
  <si>
    <t xml:space="preserve">Il tema riguarda l'altra faccia del remoto: la rarefazione dei rapporti informali con i colleghi, il desiderio di legami meno distaccati e di incontri periodici dal vivo, e il rischio di isolamento domestico. In alcuni casi la socialità fuori dal lavoro richiede uno sforzo intenzionale, come imporsi di uscire nei weekend.</t>
  </si>
  <si>
    <t xml:space="preserve">C15, C16</t>
  </si>
  <si>
    <t xml:space="preserve">"Parlo meno con colleghi e li conosco meno, forse imparo meno velocemente ma son più performante perché perdo molto meno tempo"
"Più tempo per me, più spesso chiuso in casa"</t>
  </si>
  <si>
    <t xml:space="preserve">Tutele e qualità dell'organizzazione del lavoro a distanza</t>
  </si>
  <si>
    <t xml:space="preserve">Questo macro-tema raccoglie le valutazioni complessive sul modello organizzativo: da un lato la soddisfazione per l'assetto attuale, vissuto come diritto e libertà, dall'altro la richiesta di garanzie contrattuali contro revoche del remoto o politiche di rientro in sede. Include anche la critica a modelli gestionali obsoleti e a comunicazioni dispersive che rendono meno efficiente il lavoro a distanza.</t>
  </si>
  <si>
    <t xml:space="preserve">C17, C18, C19</t>
  </si>
  <si>
    <t xml:space="preserve">"Il problema principale del lavoro da remoto è che non esistono garanzie contrattuali nella legislazione italiana"
"Non cambierei nulla, per me lavorare da remoto e' un diritto che tutti dovrebbero avere."</t>
  </si>
</sst>
</file>

<file path=xl/styles.xml><?xml version="1.0" encoding="utf-8"?>
<styleSheet xmlns="http://schemas.openxmlformats.org/spreadsheetml/2006/main">
  <numFmts count="3">
    <numFmt numFmtId="164" formatCode="General"/>
    <numFmt numFmtId="165" formatCode="m/d/yyyy\ h:mm:ss"/>
    <numFmt numFmtId="166" formatCode="0"/>
  </numFmts>
  <fonts count="8">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0"/>
      <color rgb="FFFFFFFF"/>
      <name val="Roboto"/>
      <family val="0"/>
      <charset val="1"/>
    </font>
    <font>
      <b val="true"/>
      <sz val="10"/>
      <color rgb="FF1D1B1F"/>
      <name val="Roboto"/>
      <family val="0"/>
      <charset val="1"/>
    </font>
    <font>
      <sz val="10"/>
      <color rgb="FF1D1B1F"/>
      <name val="Roboto"/>
      <family val="0"/>
      <charset val="1"/>
    </font>
  </fonts>
  <fills count="3">
    <fill>
      <patternFill patternType="none"/>
    </fill>
    <fill>
      <patternFill patternType="gray125"/>
    </fill>
    <fill>
      <patternFill patternType="solid">
        <fgColor rgb="FF68538E"/>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68538E"/>
          <bgColor rgb="FF000000"/>
        </patternFill>
      </fill>
    </dxf>
    <dxf>
      <fill>
        <patternFill patternType="solid">
          <fgColor rgb="FF1D1B1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8538E"/>
      <rgbColor rgb="FF969696"/>
      <rgbColor rgb="FF003366"/>
      <rgbColor rgb="FF339966"/>
      <rgbColor rgb="FF003300"/>
      <rgbColor rgb="FF333300"/>
      <rgbColor rgb="FF993300"/>
      <rgbColor rgb="FF993366"/>
      <rgbColor rgb="FF333399"/>
      <rgbColor rgb="FF1D1B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Form_Responses" displayName="Form_Responses" ref="A1:BO23" headerRowCount="1" totalsRowCount="0" totalsRowShown="0">
  <tableColumns count="67">
    <tableColumn id="1" name="Informazioni cronologiche"/>
    <tableColumn id="2" name="Acconsenti a partecipare a questo studio?"/>
    <tableColumn id="3" name="Attualmente lavori completamente da remoto?"/>
    <tableColumn id="4" name="Quanti anni hai?"/>
    <tableColumn id="5" name="Lavoravi già completamente da remoto quando avevi circa 35 anni?"/>
    <tableColumn id="6" name="Genere"/>
    <tableColumn id="7" name="Paese (o città) in cui vivi"/>
    <tableColumn id="8" name="Che lavoro / ruolo hai?"/>
    <tableColumn id="9" name="Con chi vivi?"/>
    <tableColumn id="10" name="Quanto spesso fai attività fisica o sport?"/>
    <tableColumn id="11" name="Descrivi la tua ultima giornata lavorativa tipica, da quando ti sei svegliato/a a quando hai smesso di lavorare."/>
    <tableColumn id="12" name="Come segni l'inizio e la fine della tua giornata lavorativa? Hai abitudini o rituali?"/>
    <tableColumn id="13" name="Nell'ultimo mese, quanto spesso ti è capitato di… […continuare a lavorare oltre l'orario previsto]"/>
    <tableColumn id="14" name="Nell'ultimo mese, quanto spesso ti è capitato di… […controllare messaggi di lavoro fuori orario]"/>
    <tableColumn id="15" name="Nell'ultimo mese, quanto spesso ti è capitato di… […pranzare alla scrivania o saltare il pranzo]"/>
    <tableColumn id="16" name="Nell'ultimo mese, quanto spesso ti è capitato di… […sentirti incapace di staccare dal lavoro]"/>
    <tableColumn id="17" name="Nell'ultimo mese, quanto spesso ti è capitato di… […passare un'intera giornata senza uscire di casa]"/>
    <tableColumn id="18" name="Pensa all'ultima volta in cui il lavoro ha invaso il tuo tempo personale. Cosa è successo e come ti sei sentito/a?"/>
    <tableColumn id="19" name="In una settimana normale, con quante persone parli di persona (non in videochiamata), escluse quelle con cui vivi?"/>
    <tableColumn id="20" name="Come interagisci con i colleghi al di là delle attività strettamente lavorative? (anche più risposte)"/>
    <tableColumn id="21" name="Quanto ti senti in connessione con i tuoi colleghi?"/>
    <tableColumn id="22" name="Quanto sei soddisfatto/a della tua vita sociale fuori dal lavoro?"/>
    <tableColumn id="23" name="Come ha cambiato la tua vita sociale il lavoro da remoto? Raccontaci aspetti positivi e negativi."/>
    <tableColumn id="24" name="Raccontaci l'ultima volta in cui ti sei sentito/a solo/a o isolato/a a causa del modo in cui lavori. Se non ti capita, cosa pensi che ti protegga?"/>
    <tableColumn id="25" name="Cosa fai attualmente per tenere separati lavoro e vita privata?"/>
    <tableColumn id="26" name="Quali di questi usi per concentrazione, gestione del tempo, benessere o socialità? (anche più risposte)"/>
    <tableColumn id="27" name="Hai mai provato qualcosa (un'abitudine, uno strumento, un gruppo, una routine) per migliorare i tuoi confini o la tua vita sociale e poi hai smesso? Cosa e perché?"/>
    <tableColumn id="28" name="Se potessi cambiare una cosa di come il lavoro da remoto influisce sul tuo benessere, quale sarebbe e perché?"/>
    <tableColumn id="29" name="Dove lavori più spesso?"/>
    <tableColumn id="30" name="Quanti giorni a settimana lavori fuori casa?"/>
    <tableColumn id="31" name="Cosa ti ha spinto a iniziare a lavorare lì invece che a casa?"/>
    <tableColumn id="32" name="Interagisci con le altre persone che lavorano lì? Descrivi l'ultima interazione significativa che hai avuto (o perché non succede)."/>
    <tableColumn id="33" name="In cosa sono diversi l'inizio e la fine della giornata quando lavori lì rispetto a quando lavori a casa?"/>
    <tableColumn id="34" name="Cosa non funziona per te in questi spazi (costi, rumore, privacy, persone, distanza…)?"/>
    <tableColumn id="35" name="Quale di queste descrive meglio i tuoi orari di lavoro?"/>
    <tableColumn id="36" name="In che fascia oraria (ora locale) lavori di solito?"/>
    <tableColumn id="37" name="Come organizzi sonno, pasti e tempo libero attorno a questi orari?"/>
    <tableColumn id="38" name="Raccontaci l'ultima volta in cui i tuoi orari ti hanno fatto perdere o rinunciare a qualcosa di sociale (una cena, un evento, lo sport…). Cosa è successo?"/>
    <tableColumn id="39" name="Quando i tuoi colleghi sono online e tu no (o viceversa), come gestisci i messaggi e la sensazione di dover essere reperibile?"/>
    <tableColumn id="40" name="Le persone intorno a te (partner, amici, coinquilini, famiglia) si adattano ai tuoi orari? In che modo?"/>
    <tableColumn id="41" name="Da quanto tempo lavori completamente da remoto?"/>
    <tableColumn id="42" name="Come sono cambiate le tue abitudini tra lavoro e tempo libero rispetto ai primi mesi completamente da remoto?"/>
    <tableColumn id="43" name="C'è stato un periodo in cui il lavoro da remoto ti è pesato più del solito? Cosa stava succedendo e cosa ti ha aiutato?"/>
    <tableColumn id="44" name="Cosa hai dovuto imparare a tue spese che diresti a chi inizia oggi a lavorare completamente da remoto?"/>
    <tableColumn id="45" name="Hai mai pensato di tornare in ufficio o a un lavoro ibrido? Perché, e cosa hai deciso?"/>
    <tableColumn id="46" name="Per mostrarti le domande finali giuste, in che fascia d'età sei?"/>
    <tableColumn id="47" name="Rispetto a quando avevi meno di 35 anni, come è cambiato il modo in cui bilanci lavoro, tempo libero e vita sociale?"/>
    <tableColumn id="48" name="Cosa è cambiato nelle tue priorità negli ultimi anni (carriera, famiglia, salute, amicizie) e come si incastra il lavoro da remoto con esse?"/>
    <tableColumn id="49" name="Nella tua fase di vita attuale, cosa rende più facile o più difficile conoscere persone nuove o mantenere i contatti con gli amici?"/>
    <tableColumn id="50" name="I tuoi amici coetanei hanno ritmi diversi dai tuoi (lavoro in ufficio, figli, turni)? Come influisce su quando e come vi vedete?"/>
    <tableColumn id="51" name="C'è qualcosa che fai oggi per proteggere il tuo benessere che avresti voluto iniziare prima? Perché?"/>
    <tableColumn id="52" name="In cosa pensi che la tua esperienza del lavoro da remoto sia diversa da quella dei colleghi ventenni?"/>
    <tableColumn id="53" name="Prima di passare completamente al remoto, quanti anni avevi lavorato in ufficio o in presenza?"/>
    <tableColumn id="54" name="Cosa ti ha portato a lavorare completamente da remoto in questa fase della tua vita e carriera?"/>
    <tableColumn id="55" name="Hai notato colleghi più giovani in difficoltà con i confini o l'isolamento in modi che a te non capitano? Raccontaci una situazione concreta."/>
    <tableColumn id="56" name="Ti capita di supportare o consigliare colleghi più giovani da remoto (formalmente o informalmente)? Come avviene a distanza?"/>
    <tableColumn id="57" name="Quali abitudini o regole hai portato dalla vita d'ufficio che ti aiutano ancora oggi?"/>
    <tableColumn id="58" name="Come ha influito il lavoro da remoto sulla tua salute fisica (movimento, postura, sonno, energia) e cosa fai al riguardo?"/>
    <tableColumn id="59" name="Quanto ti senti a tuo agio con gli strumenti digitali del lavoro da remoto (chat, videochiamate, strumenti asincroni)? Ce n'è uno che ti rende più difficile staccare?"/>
    <tableColumn id="60" name="In cosa pensi che la tua esperienza del lavoro da remoto sia diversa da quella dei colleghi più giovani?"/>
    <tableColumn id="61" name="Se in passato hai lavorato in ufficio: cosa ti manca e cosa invece non ti manca per niente?"/>
    <tableColumn id="62" name="Negli anni, come hai costruito la tua cerchia di amicizie, e quanto viene dal lavoro?"/>
    <tableColumn id="63" name="In che modo famiglia o altre responsabilità influenzano i confini tra lavoro e tempo personale?"/>
    <tableColumn id="64" name="C'è qualcos'altro sul lavoro da remoto, la vita sociale o i confini che vorresti raccontarci?"/>
    <tableColumn id="65" name="Saresti disponibile per una breve intervista di approfondimento (30–45 min, di persona o in videochiamata)?"/>
    <tableColumn id="66" name="Se sì, lascia la tua email o un contatto social per ricontattarti"/>
    <tableColumn id="67" name="Se sei a Torino o in zone limitrofe, sei disponibile ad essere intervistato dal vivo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1" min="1" style="0" width="24.38"/>
    <col collapsed="false" customWidth="true" hidden="false" outlineLevel="0" max="2" min="2" style="0" width="35.75"/>
    <col collapsed="false" customWidth="true" hidden="false" outlineLevel="0" max="3" min="3" style="0" width="37.63"/>
    <col collapsed="false" customWidth="true" hidden="false" outlineLevel="0" max="4" min="4" style="0" width="18.88"/>
    <col collapsed="false" customWidth="true" hidden="false" outlineLevel="0" max="5" min="5" style="0" width="37.63"/>
    <col collapsed="false" customWidth="true" hidden="false" outlineLevel="0" max="6" min="6" style="0" width="18.88"/>
    <col collapsed="false" customWidth="true" hidden="false" outlineLevel="0" max="7" min="7" style="0" width="22.88"/>
    <col collapsed="false" customWidth="true" hidden="false" outlineLevel="0" max="8" min="8" style="0" width="21.63"/>
    <col collapsed="false" customWidth="true" hidden="false" outlineLevel="0" max="9" min="9" style="0" width="18.88"/>
    <col collapsed="false" customWidth="true" hidden="false" outlineLevel="0" max="10" min="10" style="0" width="34.51"/>
    <col collapsed="false" customWidth="true" hidden="false" outlineLevel="0" max="28" min="11" style="0" width="37.63"/>
    <col collapsed="false" customWidth="true" hidden="false" outlineLevel="0" max="29" min="29" style="0" width="22.38"/>
    <col collapsed="false" customWidth="true" hidden="false" outlineLevel="0" max="30" min="30" style="0" width="36.25"/>
    <col collapsed="false" customWidth="true" hidden="false" outlineLevel="0" max="65" min="31" style="0" width="37.63"/>
    <col collapsed="false" customWidth="true" hidden="false" outlineLevel="0" max="66" min="66" style="0" width="31.75"/>
    <col collapsed="false" customWidth="true" hidden="false" outlineLevel="0" max="73" min="67" style="0" width="18.88"/>
  </cols>
  <sheetData>
    <row r="1" customFormat="false" ht="2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customFormat="false" ht="22.5" hidden="false" customHeight="true" outlineLevel="0" collapsed="false">
      <c r="A2" s="2" t="n">
        <v>46308.4415829167</v>
      </c>
      <c r="B2" s="3" t="s">
        <v>67</v>
      </c>
      <c r="C2" s="3" t="s">
        <v>68</v>
      </c>
      <c r="D2" s="3" t="s">
        <v>69</v>
      </c>
      <c r="E2" s="3"/>
      <c r="F2" s="3" t="s">
        <v>70</v>
      </c>
      <c r="G2" s="3" t="s">
        <v>71</v>
      </c>
      <c r="H2" s="3" t="s">
        <v>72</v>
      </c>
      <c r="I2" s="3" t="s">
        <v>73</v>
      </c>
      <c r="J2" s="3" t="s">
        <v>74</v>
      </c>
      <c r="K2" s="3" t="s">
        <v>75</v>
      </c>
      <c r="L2" s="3" t="s">
        <v>76</v>
      </c>
      <c r="M2" s="3" t="s">
        <v>77</v>
      </c>
      <c r="N2" s="3" t="s">
        <v>78</v>
      </c>
      <c r="O2" s="3" t="s">
        <v>77</v>
      </c>
      <c r="P2" s="3" t="s">
        <v>77</v>
      </c>
      <c r="Q2" s="3" t="s">
        <v>79</v>
      </c>
      <c r="R2" s="3" t="s">
        <v>80</v>
      </c>
      <c r="S2" s="3" t="s">
        <v>81</v>
      </c>
      <c r="T2" s="3" t="s">
        <v>82</v>
      </c>
      <c r="U2" s="3" t="n">
        <v>4</v>
      </c>
      <c r="V2" s="3" t="n">
        <v>4</v>
      </c>
      <c r="W2" s="3" t="s">
        <v>83</v>
      </c>
      <c r="X2" s="3" t="s">
        <v>84</v>
      </c>
      <c r="Y2" s="3" t="s">
        <v>85</v>
      </c>
      <c r="Z2" s="3" t="s">
        <v>86</v>
      </c>
      <c r="AA2" s="3" t="s">
        <v>87</v>
      </c>
      <c r="AB2" s="3" t="s">
        <v>88</v>
      </c>
      <c r="AC2" s="3" t="s">
        <v>89</v>
      </c>
      <c r="AD2" s="3"/>
      <c r="AE2" s="3"/>
      <c r="AF2" s="3"/>
      <c r="AG2" s="3"/>
      <c r="AH2" s="3"/>
      <c r="AI2" s="3" t="s">
        <v>90</v>
      </c>
      <c r="AJ2" s="3"/>
      <c r="AK2" s="3"/>
      <c r="AL2" s="3"/>
      <c r="AM2" s="3"/>
      <c r="AN2" s="3"/>
      <c r="AO2" s="3" t="s">
        <v>91</v>
      </c>
      <c r="AP2" s="3" t="s">
        <v>92</v>
      </c>
      <c r="AQ2" s="3" t="s">
        <v>93</v>
      </c>
      <c r="AR2" s="3" t="s">
        <v>94</v>
      </c>
      <c r="AS2" s="3" t="s">
        <v>95</v>
      </c>
      <c r="AT2" s="3" t="s">
        <v>96</v>
      </c>
      <c r="AU2" s="3"/>
      <c r="AV2" s="3"/>
      <c r="AW2" s="3"/>
      <c r="AX2" s="3"/>
      <c r="AY2" s="3"/>
      <c r="AZ2" s="3"/>
      <c r="BA2" s="3"/>
      <c r="BB2" s="3"/>
      <c r="BC2" s="3"/>
      <c r="BD2" s="3"/>
      <c r="BE2" s="3"/>
      <c r="BF2" s="3"/>
      <c r="BG2" s="3"/>
      <c r="BH2" s="3"/>
      <c r="BI2" s="3"/>
      <c r="BJ2" s="3"/>
      <c r="BK2" s="3"/>
      <c r="BL2" s="3" t="s">
        <v>97</v>
      </c>
      <c r="BM2" s="3" t="s">
        <v>98</v>
      </c>
      <c r="BN2" s="3" t="s">
        <v>99</v>
      </c>
      <c r="BO2" s="3"/>
    </row>
    <row r="3" customFormat="false" ht="22.5" hidden="false" customHeight="true" outlineLevel="0" collapsed="false">
      <c r="A3" s="2" t="n">
        <v>46308.6588324306</v>
      </c>
      <c r="B3" s="3" t="s">
        <v>67</v>
      </c>
      <c r="C3" s="3" t="s">
        <v>68</v>
      </c>
      <c r="D3" s="3" t="s">
        <v>100</v>
      </c>
      <c r="E3" s="3"/>
      <c r="F3" s="3" t="s">
        <v>101</v>
      </c>
      <c r="G3" s="3" t="s">
        <v>102</v>
      </c>
      <c r="H3" s="3" t="s">
        <v>103</v>
      </c>
      <c r="I3" s="3" t="s">
        <v>73</v>
      </c>
      <c r="J3" s="3" t="s">
        <v>104</v>
      </c>
      <c r="K3" s="3" t="s">
        <v>105</v>
      </c>
      <c r="L3" s="3" t="s">
        <v>106</v>
      </c>
      <c r="M3" s="3" t="s">
        <v>107</v>
      </c>
      <c r="N3" s="3" t="s">
        <v>79</v>
      </c>
      <c r="O3" s="3" t="s">
        <v>77</v>
      </c>
      <c r="P3" s="3" t="s">
        <v>107</v>
      </c>
      <c r="Q3" s="3" t="s">
        <v>108</v>
      </c>
      <c r="R3" s="3" t="s">
        <v>109</v>
      </c>
      <c r="S3" s="3" t="s">
        <v>110</v>
      </c>
      <c r="T3" s="3" t="s">
        <v>111</v>
      </c>
      <c r="U3" s="3" t="n">
        <v>3</v>
      </c>
      <c r="V3" s="3" t="n">
        <v>4</v>
      </c>
      <c r="W3" s="3" t="s">
        <v>112</v>
      </c>
      <c r="X3" s="3"/>
      <c r="Y3" s="3" t="s">
        <v>113</v>
      </c>
      <c r="Z3" s="3" t="s">
        <v>114</v>
      </c>
      <c r="AA3" s="3"/>
      <c r="AB3" s="3" t="s">
        <v>115</v>
      </c>
      <c r="AC3" s="3" t="s">
        <v>89</v>
      </c>
      <c r="AD3" s="3"/>
      <c r="AE3" s="3"/>
      <c r="AF3" s="3"/>
      <c r="AG3" s="3"/>
      <c r="AH3" s="3"/>
      <c r="AI3" s="3" t="s">
        <v>90</v>
      </c>
      <c r="AJ3" s="3"/>
      <c r="AK3" s="3"/>
      <c r="AL3" s="3"/>
      <c r="AM3" s="3"/>
      <c r="AN3" s="3"/>
      <c r="AO3" s="3" t="s">
        <v>116</v>
      </c>
      <c r="AP3" s="3"/>
      <c r="AQ3" s="3"/>
      <c r="AR3" s="3"/>
      <c r="AS3" s="3"/>
      <c r="AT3" s="3" t="s">
        <v>96</v>
      </c>
      <c r="AU3" s="3"/>
      <c r="AV3" s="3"/>
      <c r="AW3" s="3"/>
      <c r="AX3" s="3"/>
      <c r="AY3" s="3"/>
      <c r="AZ3" s="3"/>
      <c r="BA3" s="3"/>
      <c r="BB3" s="3"/>
      <c r="BC3" s="3"/>
      <c r="BD3" s="3"/>
      <c r="BE3" s="3"/>
      <c r="BF3" s="3"/>
      <c r="BG3" s="3"/>
      <c r="BH3" s="3"/>
      <c r="BI3" s="3"/>
      <c r="BJ3" s="3"/>
      <c r="BK3" s="3"/>
      <c r="BL3" s="3"/>
      <c r="BM3" s="3" t="s">
        <v>117</v>
      </c>
      <c r="BN3" s="3"/>
      <c r="BO3" s="3"/>
    </row>
    <row r="4" customFormat="false" ht="22.5" hidden="false" customHeight="true" outlineLevel="0" collapsed="false">
      <c r="A4" s="2" t="n">
        <v>46308.6650223148</v>
      </c>
      <c r="B4" s="3" t="s">
        <v>67</v>
      </c>
      <c r="C4" s="3" t="s">
        <v>68</v>
      </c>
      <c r="D4" s="3" t="s">
        <v>100</v>
      </c>
      <c r="E4" s="3"/>
      <c r="F4" s="3" t="s">
        <v>70</v>
      </c>
      <c r="G4" s="3" t="s">
        <v>118</v>
      </c>
      <c r="H4" s="3" t="s">
        <v>119</v>
      </c>
      <c r="I4" s="3" t="s">
        <v>120</v>
      </c>
      <c r="J4" s="3" t="s">
        <v>74</v>
      </c>
      <c r="K4" s="3" t="s">
        <v>121</v>
      </c>
      <c r="L4" s="3" t="s">
        <v>122</v>
      </c>
      <c r="M4" s="3" t="s">
        <v>77</v>
      </c>
      <c r="N4" s="3" t="s">
        <v>79</v>
      </c>
      <c r="O4" s="3" t="s">
        <v>77</v>
      </c>
      <c r="P4" s="3" t="s">
        <v>77</v>
      </c>
      <c r="Q4" s="3" t="s">
        <v>107</v>
      </c>
      <c r="R4" s="3" t="s">
        <v>123</v>
      </c>
      <c r="S4" s="3" t="s">
        <v>81</v>
      </c>
      <c r="T4" s="3" t="s">
        <v>124</v>
      </c>
      <c r="U4" s="3" t="n">
        <v>3</v>
      </c>
      <c r="V4" s="3" t="n">
        <v>4</v>
      </c>
      <c r="W4" s="3" t="s">
        <v>125</v>
      </c>
      <c r="X4" s="3" t="s">
        <v>126</v>
      </c>
      <c r="Y4" s="3" t="s">
        <v>127</v>
      </c>
      <c r="Z4" s="3" t="s">
        <v>86</v>
      </c>
      <c r="AA4" s="3" t="s">
        <v>117</v>
      </c>
      <c r="AB4" s="3" t="s">
        <v>128</v>
      </c>
      <c r="AC4" s="3" t="s">
        <v>89</v>
      </c>
      <c r="AD4" s="3"/>
      <c r="AE4" s="3"/>
      <c r="AF4" s="3"/>
      <c r="AG4" s="3"/>
      <c r="AH4" s="3"/>
      <c r="AI4" s="3" t="s">
        <v>90</v>
      </c>
      <c r="AJ4" s="3"/>
      <c r="AK4" s="3"/>
      <c r="AL4" s="3"/>
      <c r="AM4" s="3"/>
      <c r="AN4" s="3"/>
      <c r="AO4" s="3" t="s">
        <v>116</v>
      </c>
      <c r="AP4" s="3"/>
      <c r="AQ4" s="3"/>
      <c r="AR4" s="3"/>
      <c r="AS4" s="3"/>
      <c r="AT4" s="3" t="s">
        <v>96</v>
      </c>
      <c r="AU4" s="3"/>
      <c r="AV4" s="3"/>
      <c r="AW4" s="3"/>
      <c r="AX4" s="3"/>
      <c r="AY4" s="3"/>
      <c r="AZ4" s="3"/>
      <c r="BA4" s="3"/>
      <c r="BB4" s="3"/>
      <c r="BC4" s="3"/>
      <c r="BD4" s="3"/>
      <c r="BE4" s="3"/>
      <c r="BF4" s="3"/>
      <c r="BG4" s="3"/>
      <c r="BH4" s="3"/>
      <c r="BI4" s="3"/>
      <c r="BJ4" s="3"/>
      <c r="BK4" s="3"/>
      <c r="BL4" s="3" t="s">
        <v>129</v>
      </c>
      <c r="BM4" s="3" t="s">
        <v>98</v>
      </c>
      <c r="BN4" s="3" t="s">
        <v>130</v>
      </c>
      <c r="BO4" s="3"/>
    </row>
    <row r="5" customFormat="false" ht="22.5" hidden="false" customHeight="true" outlineLevel="0" collapsed="false">
      <c r="A5" s="2" t="n">
        <v>46308.6657436806</v>
      </c>
      <c r="B5" s="3" t="s">
        <v>67</v>
      </c>
      <c r="C5" s="3" t="s">
        <v>131</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customFormat="false" ht="22.5" hidden="false" customHeight="true" outlineLevel="0" collapsed="false">
      <c r="A6" s="2" t="n">
        <v>46308.6738169329</v>
      </c>
      <c r="B6" s="3" t="s">
        <v>67</v>
      </c>
      <c r="C6" s="3" t="s">
        <v>68</v>
      </c>
      <c r="D6" s="3" t="s">
        <v>69</v>
      </c>
      <c r="E6" s="3"/>
      <c r="F6" s="3" t="s">
        <v>70</v>
      </c>
      <c r="G6" s="3" t="s">
        <v>132</v>
      </c>
      <c r="H6" s="3" t="s">
        <v>133</v>
      </c>
      <c r="I6" s="3" t="s">
        <v>73</v>
      </c>
      <c r="J6" s="3" t="s">
        <v>74</v>
      </c>
      <c r="K6" s="4" t="s">
        <v>134</v>
      </c>
      <c r="L6" s="3" t="s">
        <v>135</v>
      </c>
      <c r="M6" s="3" t="s">
        <v>107</v>
      </c>
      <c r="N6" s="3" t="s">
        <v>77</v>
      </c>
      <c r="O6" s="3" t="s">
        <v>107</v>
      </c>
      <c r="P6" s="3" t="s">
        <v>77</v>
      </c>
      <c r="Q6" s="3" t="s">
        <v>79</v>
      </c>
      <c r="R6" s="3" t="s">
        <v>136</v>
      </c>
      <c r="S6" s="3" t="s">
        <v>137</v>
      </c>
      <c r="T6" s="3" t="s">
        <v>111</v>
      </c>
      <c r="U6" s="3" t="n">
        <v>5</v>
      </c>
      <c r="V6" s="3" t="n">
        <v>4</v>
      </c>
      <c r="W6" s="4" t="s">
        <v>138</v>
      </c>
      <c r="X6" s="3" t="s">
        <v>139</v>
      </c>
      <c r="Y6" s="3" t="s">
        <v>140</v>
      </c>
      <c r="Z6" s="3" t="s">
        <v>141</v>
      </c>
      <c r="AA6" s="3" t="s">
        <v>117</v>
      </c>
      <c r="AB6" s="3" t="s">
        <v>142</v>
      </c>
      <c r="AC6" s="3" t="s">
        <v>143</v>
      </c>
      <c r="AD6" s="3" t="s">
        <v>144</v>
      </c>
      <c r="AE6" s="3" t="s">
        <v>145</v>
      </c>
      <c r="AF6" s="3" t="s">
        <v>146</v>
      </c>
      <c r="AG6" s="3" t="s">
        <v>147</v>
      </c>
      <c r="AH6" s="3" t="s">
        <v>148</v>
      </c>
      <c r="AI6" s="3" t="s">
        <v>90</v>
      </c>
      <c r="AJ6" s="3"/>
      <c r="AK6" s="3"/>
      <c r="AL6" s="3"/>
      <c r="AM6" s="3"/>
      <c r="AN6" s="3"/>
      <c r="AO6" s="3" t="s">
        <v>91</v>
      </c>
      <c r="AP6" s="3" t="s">
        <v>149</v>
      </c>
      <c r="AQ6" s="3"/>
      <c r="AR6" s="3" t="s">
        <v>150</v>
      </c>
      <c r="AS6" s="3" t="s">
        <v>151</v>
      </c>
      <c r="AT6" s="3" t="s">
        <v>96</v>
      </c>
      <c r="AU6" s="3"/>
      <c r="AV6" s="3"/>
      <c r="AW6" s="3"/>
      <c r="AX6" s="3"/>
      <c r="AY6" s="3"/>
      <c r="AZ6" s="3"/>
      <c r="BA6" s="3"/>
      <c r="BB6" s="3"/>
      <c r="BC6" s="3"/>
      <c r="BD6" s="3"/>
      <c r="BE6" s="3"/>
      <c r="BF6" s="3"/>
      <c r="BG6" s="3"/>
      <c r="BH6" s="3"/>
      <c r="BI6" s="3"/>
      <c r="BJ6" s="3"/>
      <c r="BK6" s="3"/>
      <c r="BL6" s="3" t="s">
        <v>152</v>
      </c>
      <c r="BM6" s="3" t="s">
        <v>117</v>
      </c>
      <c r="BN6" s="3"/>
      <c r="BO6" s="3"/>
    </row>
    <row r="7" customFormat="false" ht="22.5" hidden="false" customHeight="true" outlineLevel="0" collapsed="false">
      <c r="A7" s="2" t="n">
        <v>46308.676175706</v>
      </c>
      <c r="B7" s="3" t="s">
        <v>67</v>
      </c>
      <c r="C7" s="3" t="s">
        <v>68</v>
      </c>
      <c r="D7" s="3" t="s">
        <v>100</v>
      </c>
      <c r="E7" s="3"/>
      <c r="F7" s="3" t="s">
        <v>70</v>
      </c>
      <c r="G7" s="3" t="s">
        <v>153</v>
      </c>
      <c r="H7" s="3" t="s">
        <v>154</v>
      </c>
      <c r="I7" s="3" t="s">
        <v>73</v>
      </c>
      <c r="J7" s="3" t="s">
        <v>74</v>
      </c>
      <c r="K7" s="3" t="s">
        <v>155</v>
      </c>
      <c r="L7" s="3" t="s">
        <v>156</v>
      </c>
      <c r="M7" s="3" t="s">
        <v>77</v>
      </c>
      <c r="N7" s="3" t="s">
        <v>77</v>
      </c>
      <c r="O7" s="3" t="s">
        <v>77</v>
      </c>
      <c r="P7" s="3" t="s">
        <v>77</v>
      </c>
      <c r="Q7" s="3" t="s">
        <v>79</v>
      </c>
      <c r="R7" s="3" t="s">
        <v>157</v>
      </c>
      <c r="S7" s="3" t="s">
        <v>110</v>
      </c>
      <c r="T7" s="3" t="s">
        <v>158</v>
      </c>
      <c r="U7" s="3" t="n">
        <v>3</v>
      </c>
      <c r="V7" s="3" t="n">
        <v>5</v>
      </c>
      <c r="W7" s="3" t="s">
        <v>159</v>
      </c>
      <c r="X7" s="3" t="s">
        <v>160</v>
      </c>
      <c r="Y7" s="3" t="s">
        <v>161</v>
      </c>
      <c r="Z7" s="3" t="s">
        <v>86</v>
      </c>
      <c r="AA7" s="3" t="s">
        <v>117</v>
      </c>
      <c r="AB7" s="3" t="s">
        <v>162</v>
      </c>
      <c r="AC7" s="3" t="s">
        <v>89</v>
      </c>
      <c r="AD7" s="3"/>
      <c r="AE7" s="3"/>
      <c r="AF7" s="3"/>
      <c r="AG7" s="3"/>
      <c r="AH7" s="3"/>
      <c r="AI7" s="3" t="s">
        <v>90</v>
      </c>
      <c r="AJ7" s="3"/>
      <c r="AK7" s="3"/>
      <c r="AL7" s="3"/>
      <c r="AM7" s="3"/>
      <c r="AN7" s="3"/>
      <c r="AO7" s="3" t="s">
        <v>163</v>
      </c>
      <c r="AP7" s="3"/>
      <c r="AQ7" s="3"/>
      <c r="AR7" s="3"/>
      <c r="AS7" s="3"/>
      <c r="AT7" s="3" t="s">
        <v>96</v>
      </c>
      <c r="AU7" s="3"/>
      <c r="AV7" s="3"/>
      <c r="AW7" s="3"/>
      <c r="AX7" s="3"/>
      <c r="AY7" s="3"/>
      <c r="AZ7" s="3"/>
      <c r="BA7" s="3"/>
      <c r="BB7" s="3"/>
      <c r="BC7" s="3"/>
      <c r="BD7" s="3"/>
      <c r="BE7" s="3"/>
      <c r="BF7" s="3"/>
      <c r="BG7" s="3"/>
      <c r="BH7" s="3"/>
      <c r="BI7" s="3"/>
      <c r="BJ7" s="3"/>
      <c r="BK7" s="3"/>
      <c r="BL7" s="3" t="s">
        <v>117</v>
      </c>
      <c r="BM7" s="3" t="s">
        <v>98</v>
      </c>
      <c r="BN7" s="3" t="s">
        <v>164</v>
      </c>
      <c r="BO7" s="3"/>
    </row>
    <row r="8" customFormat="false" ht="22.5" hidden="false" customHeight="true" outlineLevel="0" collapsed="false">
      <c r="A8" s="2" t="n">
        <v>46308.6870509028</v>
      </c>
      <c r="B8" s="3" t="s">
        <v>67</v>
      </c>
      <c r="C8" s="3" t="s">
        <v>68</v>
      </c>
      <c r="D8" s="3" t="s">
        <v>69</v>
      </c>
      <c r="E8" s="3"/>
      <c r="F8" s="3" t="s">
        <v>70</v>
      </c>
      <c r="G8" s="3"/>
      <c r="H8" s="3" t="s">
        <v>165</v>
      </c>
      <c r="I8" s="3" t="s">
        <v>166</v>
      </c>
      <c r="J8" s="3" t="s">
        <v>74</v>
      </c>
      <c r="K8" s="3" t="s">
        <v>167</v>
      </c>
      <c r="L8" s="3" t="s">
        <v>168</v>
      </c>
      <c r="M8" s="3" t="s">
        <v>77</v>
      </c>
      <c r="N8" s="3" t="s">
        <v>79</v>
      </c>
      <c r="O8" s="3" t="s">
        <v>77</v>
      </c>
      <c r="P8" s="3" t="s">
        <v>77</v>
      </c>
      <c r="Q8" s="3" t="s">
        <v>77</v>
      </c>
      <c r="R8" s="3" t="s">
        <v>169</v>
      </c>
      <c r="S8" s="3" t="s">
        <v>81</v>
      </c>
      <c r="T8" s="3" t="s">
        <v>158</v>
      </c>
      <c r="U8" s="3" t="n">
        <v>3</v>
      </c>
      <c r="V8" s="3" t="n">
        <v>5</v>
      </c>
      <c r="W8" s="3" t="s">
        <v>170</v>
      </c>
      <c r="X8" s="3" t="s">
        <v>171</v>
      </c>
      <c r="Y8" s="3" t="s">
        <v>172</v>
      </c>
      <c r="Z8" s="3" t="s">
        <v>114</v>
      </c>
      <c r="AA8" s="3"/>
      <c r="AB8" s="3" t="s">
        <v>173</v>
      </c>
      <c r="AC8" s="3" t="s">
        <v>89</v>
      </c>
      <c r="AD8" s="3"/>
      <c r="AE8" s="3"/>
      <c r="AF8" s="3"/>
      <c r="AG8" s="3"/>
      <c r="AH8" s="3"/>
      <c r="AI8" s="3" t="s">
        <v>90</v>
      </c>
      <c r="AJ8" s="3"/>
      <c r="AK8" s="3"/>
      <c r="AL8" s="3"/>
      <c r="AM8" s="3"/>
      <c r="AN8" s="3"/>
      <c r="AO8" s="3" t="s">
        <v>174</v>
      </c>
      <c r="AP8" s="3" t="s">
        <v>175</v>
      </c>
      <c r="AQ8" s="3" t="s">
        <v>77</v>
      </c>
      <c r="AR8" s="3" t="s">
        <v>176</v>
      </c>
      <c r="AS8" s="3" t="s">
        <v>177</v>
      </c>
      <c r="AT8" s="3" t="s">
        <v>96</v>
      </c>
      <c r="AU8" s="3"/>
      <c r="AV8" s="3"/>
      <c r="AW8" s="3"/>
      <c r="AX8" s="3"/>
      <c r="AY8" s="3"/>
      <c r="AZ8" s="3"/>
      <c r="BA8" s="3"/>
      <c r="BB8" s="3"/>
      <c r="BC8" s="3"/>
      <c r="BD8" s="3"/>
      <c r="BE8" s="3"/>
      <c r="BF8" s="3"/>
      <c r="BG8" s="3"/>
      <c r="BH8" s="3"/>
      <c r="BI8" s="3"/>
      <c r="BJ8" s="3"/>
      <c r="BK8" s="3"/>
      <c r="BL8" s="3"/>
      <c r="BM8" s="3" t="s">
        <v>117</v>
      </c>
      <c r="BN8" s="3"/>
      <c r="BO8" s="3"/>
    </row>
    <row r="9" customFormat="false" ht="22.5" hidden="false" customHeight="true" outlineLevel="0" collapsed="false">
      <c r="A9" s="2" t="n">
        <v>46308.6872571412</v>
      </c>
      <c r="B9" s="3" t="s">
        <v>67</v>
      </c>
      <c r="C9" s="3" t="s">
        <v>68</v>
      </c>
      <c r="D9" s="3" t="s">
        <v>69</v>
      </c>
      <c r="E9" s="3"/>
      <c r="F9" s="3" t="s">
        <v>70</v>
      </c>
      <c r="G9" s="3" t="s">
        <v>178</v>
      </c>
      <c r="H9" s="3" t="s">
        <v>179</v>
      </c>
      <c r="I9" s="3" t="s">
        <v>73</v>
      </c>
      <c r="J9" s="3" t="s">
        <v>74</v>
      </c>
      <c r="K9" s="4" t="s">
        <v>180</v>
      </c>
      <c r="L9" s="3" t="s">
        <v>181</v>
      </c>
      <c r="M9" s="3" t="s">
        <v>108</v>
      </c>
      <c r="N9" s="3" t="s">
        <v>78</v>
      </c>
      <c r="O9" s="3" t="s">
        <v>77</v>
      </c>
      <c r="P9" s="3" t="s">
        <v>79</v>
      </c>
      <c r="Q9" s="3" t="s">
        <v>107</v>
      </c>
      <c r="R9" s="3" t="s">
        <v>182</v>
      </c>
      <c r="S9" s="3" t="s">
        <v>110</v>
      </c>
      <c r="T9" s="3" t="s">
        <v>183</v>
      </c>
      <c r="U9" s="3" t="n">
        <v>4</v>
      </c>
      <c r="V9" s="3" t="n">
        <v>5</v>
      </c>
      <c r="W9" s="4" t="s">
        <v>184</v>
      </c>
      <c r="X9" s="3" t="s">
        <v>185</v>
      </c>
      <c r="Y9" s="3" t="s">
        <v>186</v>
      </c>
      <c r="Z9" s="3" t="s">
        <v>86</v>
      </c>
      <c r="AA9" s="3" t="s">
        <v>187</v>
      </c>
      <c r="AB9" s="3" t="s">
        <v>188</v>
      </c>
      <c r="AC9" s="3" t="s">
        <v>189</v>
      </c>
      <c r="AD9" s="3"/>
      <c r="AE9" s="3"/>
      <c r="AF9" s="3"/>
      <c r="AG9" s="3"/>
      <c r="AH9" s="3"/>
      <c r="AI9" s="3" t="s">
        <v>190</v>
      </c>
      <c r="AJ9" s="3" t="s">
        <v>191</v>
      </c>
      <c r="AK9" s="3" t="s">
        <v>192</v>
      </c>
      <c r="AL9" s="3" t="s">
        <v>193</v>
      </c>
      <c r="AM9" s="3" t="s">
        <v>194</v>
      </c>
      <c r="AN9" s="3" t="s">
        <v>195</v>
      </c>
      <c r="AO9" s="3" t="s">
        <v>174</v>
      </c>
      <c r="AP9" s="3" t="s">
        <v>196</v>
      </c>
      <c r="AQ9" s="3" t="s">
        <v>197</v>
      </c>
      <c r="AR9" s="3" t="s">
        <v>198</v>
      </c>
      <c r="AS9" s="3" t="s">
        <v>199</v>
      </c>
      <c r="AT9" s="3" t="s">
        <v>96</v>
      </c>
      <c r="AU9" s="3"/>
      <c r="AV9" s="3"/>
      <c r="AW9" s="3"/>
      <c r="AX9" s="3"/>
      <c r="AY9" s="3"/>
      <c r="AZ9" s="3"/>
      <c r="BA9" s="3"/>
      <c r="BB9" s="3"/>
      <c r="BC9" s="3"/>
      <c r="BD9" s="3"/>
      <c r="BE9" s="3"/>
      <c r="BF9" s="3"/>
      <c r="BG9" s="3"/>
      <c r="BH9" s="3"/>
      <c r="BI9" s="3"/>
      <c r="BJ9" s="3"/>
      <c r="BK9" s="3"/>
      <c r="BL9" s="3" t="s">
        <v>200</v>
      </c>
      <c r="BM9" s="3" t="s">
        <v>117</v>
      </c>
      <c r="BN9" s="3"/>
      <c r="BO9" s="3"/>
    </row>
    <row r="10" customFormat="false" ht="22.5" hidden="false" customHeight="true" outlineLevel="0" collapsed="false">
      <c r="A10" s="2" t="n">
        <v>46308.7001654398</v>
      </c>
      <c r="B10" s="3" t="s">
        <v>67</v>
      </c>
      <c r="C10" s="3" t="s">
        <v>68</v>
      </c>
      <c r="D10" s="3" t="s">
        <v>201</v>
      </c>
      <c r="E10" s="3" t="s">
        <v>117</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row>
    <row r="11" customFormat="false" ht="22.5" hidden="false" customHeight="true" outlineLevel="0" collapsed="false">
      <c r="A11" s="2" t="n">
        <v>46308.7137841088</v>
      </c>
      <c r="B11" s="3" t="s">
        <v>67</v>
      </c>
      <c r="C11" s="3" t="s">
        <v>68</v>
      </c>
      <c r="D11" s="3" t="s">
        <v>100</v>
      </c>
      <c r="E11" s="3"/>
      <c r="F11" s="3" t="s">
        <v>70</v>
      </c>
      <c r="G11" s="3" t="s">
        <v>202</v>
      </c>
      <c r="H11" s="3" t="s">
        <v>203</v>
      </c>
      <c r="I11" s="3" t="s">
        <v>204</v>
      </c>
      <c r="J11" s="3" t="s">
        <v>74</v>
      </c>
      <c r="K11" s="3" t="s">
        <v>205</v>
      </c>
      <c r="L11" s="3" t="s">
        <v>206</v>
      </c>
      <c r="M11" s="3" t="s">
        <v>79</v>
      </c>
      <c r="N11" s="3" t="s">
        <v>79</v>
      </c>
      <c r="O11" s="3" t="s">
        <v>77</v>
      </c>
      <c r="P11" s="3" t="s">
        <v>79</v>
      </c>
      <c r="Q11" s="3" t="s">
        <v>77</v>
      </c>
      <c r="R11" s="3" t="s">
        <v>207</v>
      </c>
      <c r="S11" s="3" t="s">
        <v>81</v>
      </c>
      <c r="T11" s="3" t="s">
        <v>208</v>
      </c>
      <c r="U11" s="3" t="n">
        <v>2</v>
      </c>
      <c r="V11" s="3" t="n">
        <v>5</v>
      </c>
      <c r="W11" s="3" t="s">
        <v>209</v>
      </c>
      <c r="X11" s="3" t="s">
        <v>210</v>
      </c>
      <c r="Y11" s="3" t="s">
        <v>211</v>
      </c>
      <c r="Z11" s="3" t="s">
        <v>212</v>
      </c>
      <c r="AA11" s="3" t="s">
        <v>213</v>
      </c>
      <c r="AB11" s="3" t="s">
        <v>214</v>
      </c>
      <c r="AC11" s="3" t="s">
        <v>189</v>
      </c>
      <c r="AD11" s="3"/>
      <c r="AE11" s="3"/>
      <c r="AF11" s="3"/>
      <c r="AG11" s="3"/>
      <c r="AH11" s="3"/>
      <c r="AI11" s="3" t="s">
        <v>90</v>
      </c>
      <c r="AJ11" s="3"/>
      <c r="AK11" s="3"/>
      <c r="AL11" s="3"/>
      <c r="AM11" s="3"/>
      <c r="AN11" s="3"/>
      <c r="AO11" s="3" t="s">
        <v>174</v>
      </c>
      <c r="AP11" s="3" t="s">
        <v>215</v>
      </c>
      <c r="AQ11" s="3" t="s">
        <v>216</v>
      </c>
      <c r="AR11" s="3" t="s">
        <v>217</v>
      </c>
      <c r="AS11" s="3" t="s">
        <v>218</v>
      </c>
      <c r="AT11" s="3" t="s">
        <v>96</v>
      </c>
      <c r="AU11" s="3"/>
      <c r="AV11" s="3"/>
      <c r="AW11" s="3"/>
      <c r="AX11" s="3"/>
      <c r="AY11" s="3"/>
      <c r="AZ11" s="3"/>
      <c r="BA11" s="3"/>
      <c r="BB11" s="3"/>
      <c r="BC11" s="3"/>
      <c r="BD11" s="3"/>
      <c r="BE11" s="3"/>
      <c r="BF11" s="3"/>
      <c r="BG11" s="3"/>
      <c r="BH11" s="3"/>
      <c r="BI11" s="3"/>
      <c r="BJ11" s="3"/>
      <c r="BK11" s="3"/>
      <c r="BL11" s="3"/>
      <c r="BM11" s="3" t="s">
        <v>117</v>
      </c>
      <c r="BN11" s="3"/>
      <c r="BO11" s="3"/>
    </row>
    <row r="12" customFormat="false" ht="22.5" hidden="false" customHeight="true" outlineLevel="0" collapsed="false">
      <c r="A12" s="2" t="n">
        <v>46308.7143366319</v>
      </c>
      <c r="B12" s="3" t="s">
        <v>67</v>
      </c>
      <c r="C12" s="3" t="s">
        <v>68</v>
      </c>
      <c r="D12" s="3" t="s">
        <v>69</v>
      </c>
      <c r="E12" s="3"/>
      <c r="F12" s="3" t="s">
        <v>70</v>
      </c>
      <c r="G12" s="3" t="s">
        <v>219</v>
      </c>
      <c r="H12" s="3" t="s">
        <v>220</v>
      </c>
      <c r="I12" s="3" t="s">
        <v>73</v>
      </c>
      <c r="J12" s="3" t="s">
        <v>74</v>
      </c>
      <c r="K12" s="3" t="s">
        <v>221</v>
      </c>
      <c r="L12" s="3" t="s">
        <v>117</v>
      </c>
      <c r="M12" s="3" t="s">
        <v>108</v>
      </c>
      <c r="N12" s="3" t="s">
        <v>108</v>
      </c>
      <c r="O12" s="3" t="s">
        <v>108</v>
      </c>
      <c r="P12" s="3" t="s">
        <v>79</v>
      </c>
      <c r="Q12" s="3" t="s">
        <v>79</v>
      </c>
      <c r="R12" s="3" t="s">
        <v>222</v>
      </c>
      <c r="S12" s="3" t="s">
        <v>137</v>
      </c>
      <c r="T12" s="3" t="s">
        <v>183</v>
      </c>
      <c r="U12" s="3" t="n">
        <v>4</v>
      </c>
      <c r="V12" s="3" t="n">
        <v>4</v>
      </c>
      <c r="W12" s="3" t="s">
        <v>223</v>
      </c>
      <c r="X12" s="3" t="s">
        <v>224</v>
      </c>
      <c r="Y12" s="3" t="s">
        <v>225</v>
      </c>
      <c r="Z12" s="3" t="s">
        <v>86</v>
      </c>
      <c r="AA12" s="3" t="s">
        <v>226</v>
      </c>
      <c r="AB12" s="3" t="s">
        <v>227</v>
      </c>
      <c r="AC12" s="3" t="s">
        <v>89</v>
      </c>
      <c r="AD12" s="3"/>
      <c r="AE12" s="3"/>
      <c r="AF12" s="3"/>
      <c r="AG12" s="3"/>
      <c r="AH12" s="3"/>
      <c r="AI12" s="3" t="s">
        <v>90</v>
      </c>
      <c r="AJ12" s="3"/>
      <c r="AK12" s="3"/>
      <c r="AL12" s="3"/>
      <c r="AM12" s="3"/>
      <c r="AN12" s="3"/>
      <c r="AO12" s="3" t="s">
        <v>116</v>
      </c>
      <c r="AP12" s="3"/>
      <c r="AQ12" s="3"/>
      <c r="AR12" s="3"/>
      <c r="AS12" s="3"/>
      <c r="AT12" s="3" t="s">
        <v>96</v>
      </c>
      <c r="AU12" s="3"/>
      <c r="AV12" s="3"/>
      <c r="AW12" s="3"/>
      <c r="AX12" s="3"/>
      <c r="AY12" s="3"/>
      <c r="AZ12" s="3"/>
      <c r="BA12" s="3"/>
      <c r="BB12" s="3"/>
      <c r="BC12" s="3"/>
      <c r="BD12" s="3"/>
      <c r="BE12" s="3"/>
      <c r="BF12" s="3"/>
      <c r="BG12" s="3"/>
      <c r="BH12" s="3"/>
      <c r="BI12" s="3"/>
      <c r="BJ12" s="3"/>
      <c r="BK12" s="3"/>
      <c r="BL12" s="3" t="s">
        <v>117</v>
      </c>
      <c r="BM12" s="3" t="s">
        <v>117</v>
      </c>
      <c r="BN12" s="3"/>
      <c r="BO12" s="3"/>
    </row>
    <row r="13" customFormat="false" ht="22.5" hidden="false" customHeight="true" outlineLevel="0" collapsed="false">
      <c r="A13" s="2" t="n">
        <v>46308.7270345602</v>
      </c>
      <c r="B13" s="3" t="s">
        <v>67</v>
      </c>
      <c r="C13" s="3" t="s">
        <v>131</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row>
    <row r="14" customFormat="false" ht="22.5" hidden="false" customHeight="true" outlineLevel="0" collapsed="false">
      <c r="A14" s="2" t="n">
        <v>46308.7336263079</v>
      </c>
      <c r="B14" s="3" t="s">
        <v>67</v>
      </c>
      <c r="C14" s="3" t="s">
        <v>68</v>
      </c>
      <c r="D14" s="3" t="s">
        <v>201</v>
      </c>
      <c r="E14" s="3" t="s">
        <v>98</v>
      </c>
      <c r="F14" s="3" t="s">
        <v>70</v>
      </c>
      <c r="G14" s="3" t="s">
        <v>228</v>
      </c>
      <c r="H14" s="3" t="s">
        <v>229</v>
      </c>
      <c r="I14" s="3" t="s">
        <v>166</v>
      </c>
      <c r="J14" s="3" t="s">
        <v>230</v>
      </c>
      <c r="K14" s="3" t="s">
        <v>231</v>
      </c>
      <c r="L14" s="3" t="s">
        <v>232</v>
      </c>
      <c r="M14" s="3" t="s">
        <v>108</v>
      </c>
      <c r="N14" s="3" t="s">
        <v>108</v>
      </c>
      <c r="O14" s="3" t="s">
        <v>77</v>
      </c>
      <c r="P14" s="3" t="s">
        <v>107</v>
      </c>
      <c r="Q14" s="3" t="s">
        <v>107</v>
      </c>
      <c r="R14" s="3" t="s">
        <v>233</v>
      </c>
      <c r="S14" s="3" t="s">
        <v>110</v>
      </c>
      <c r="T14" s="3" t="s">
        <v>234</v>
      </c>
      <c r="U14" s="3" t="n">
        <v>4</v>
      </c>
      <c r="V14" s="3" t="n">
        <v>4</v>
      </c>
      <c r="W14" s="3" t="s">
        <v>235</v>
      </c>
      <c r="X14" s="3" t="s">
        <v>236</v>
      </c>
      <c r="Y14" s="3" t="s">
        <v>237</v>
      </c>
      <c r="Z14" s="3" t="s">
        <v>238</v>
      </c>
      <c r="AA14" s="3" t="s">
        <v>239</v>
      </c>
      <c r="AB14" s="3" t="s">
        <v>240</v>
      </c>
      <c r="AC14" s="3" t="s">
        <v>89</v>
      </c>
      <c r="AD14" s="3"/>
      <c r="AE14" s="3"/>
      <c r="AF14" s="3"/>
      <c r="AG14" s="3"/>
      <c r="AH14" s="3"/>
      <c r="AI14" s="3" t="s">
        <v>90</v>
      </c>
      <c r="AJ14" s="3"/>
      <c r="AK14" s="3"/>
      <c r="AL14" s="3"/>
      <c r="AM14" s="3"/>
      <c r="AN14" s="3"/>
      <c r="AO14" s="3" t="s">
        <v>91</v>
      </c>
      <c r="AP14" s="3" t="s">
        <v>241</v>
      </c>
      <c r="AQ14" s="3" t="s">
        <v>242</v>
      </c>
      <c r="AR14" s="3" t="s">
        <v>243</v>
      </c>
      <c r="AS14" s="3" t="s">
        <v>244</v>
      </c>
      <c r="AT14" s="3" t="s">
        <v>201</v>
      </c>
      <c r="AU14" s="3" t="s">
        <v>245</v>
      </c>
      <c r="AV14" s="3" t="s">
        <v>246</v>
      </c>
      <c r="AW14" s="3" t="s">
        <v>247</v>
      </c>
      <c r="AX14" s="3" t="s">
        <v>248</v>
      </c>
      <c r="AY14" s="3" t="s">
        <v>249</v>
      </c>
      <c r="AZ14" s="4" t="s">
        <v>250</v>
      </c>
      <c r="BA14" s="3" t="s">
        <v>251</v>
      </c>
      <c r="BB14" s="3" t="s">
        <v>252</v>
      </c>
      <c r="BC14" s="4" t="s">
        <v>253</v>
      </c>
      <c r="BD14" s="3" t="s">
        <v>254</v>
      </c>
      <c r="BE14" s="3" t="s">
        <v>255</v>
      </c>
      <c r="BF14" s="3" t="s">
        <v>256</v>
      </c>
      <c r="BG14" s="3" t="s">
        <v>257</v>
      </c>
      <c r="BH14" s="3" t="s">
        <v>258</v>
      </c>
      <c r="BI14" s="3" t="s">
        <v>259</v>
      </c>
      <c r="BJ14" s="3" t="s">
        <v>260</v>
      </c>
      <c r="BK14" s="3" t="s">
        <v>261</v>
      </c>
      <c r="BL14" s="3" t="s">
        <v>262</v>
      </c>
      <c r="BM14" s="3" t="s">
        <v>98</v>
      </c>
      <c r="BN14" s="3" t="s">
        <v>263</v>
      </c>
      <c r="BO14" s="3"/>
    </row>
    <row r="15" customFormat="false" ht="22.5" hidden="false" customHeight="true" outlineLevel="0" collapsed="false">
      <c r="A15" s="2" t="n">
        <v>46308.7404728009</v>
      </c>
      <c r="B15" s="3" t="s">
        <v>67</v>
      </c>
      <c r="C15" s="3" t="s">
        <v>68</v>
      </c>
      <c r="D15" s="3" t="s">
        <v>201</v>
      </c>
      <c r="E15" s="3" t="s">
        <v>117</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row>
    <row r="16" customFormat="false" ht="22.5" hidden="false" customHeight="true" outlineLevel="0" collapsed="false">
      <c r="A16" s="2" t="n">
        <v>46308.7556662963</v>
      </c>
      <c r="B16" s="3" t="s">
        <v>67</v>
      </c>
      <c r="C16" s="3" t="s">
        <v>131</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row>
    <row r="17" customFormat="false" ht="22.5" hidden="false" customHeight="true" outlineLevel="0" collapsed="false">
      <c r="A17" s="2" t="n">
        <v>46308.8197702199</v>
      </c>
      <c r="B17" s="3" t="s">
        <v>67</v>
      </c>
      <c r="C17" s="3" t="s">
        <v>68</v>
      </c>
      <c r="D17" s="3" t="s">
        <v>69</v>
      </c>
      <c r="F17" s="3" t="s">
        <v>70</v>
      </c>
      <c r="H17" s="3" t="s">
        <v>264</v>
      </c>
      <c r="I17" s="3" t="s">
        <v>120</v>
      </c>
      <c r="J17" s="3" t="s">
        <v>74</v>
      </c>
      <c r="K17" s="4" t="s">
        <v>265</v>
      </c>
      <c r="L17" s="4" t="s">
        <v>266</v>
      </c>
      <c r="M17" s="3" t="s">
        <v>79</v>
      </c>
      <c r="N17" s="3" t="s">
        <v>107</v>
      </c>
      <c r="O17" s="3" t="s">
        <v>77</v>
      </c>
      <c r="P17" s="3" t="s">
        <v>77</v>
      </c>
      <c r="Q17" s="3" t="s">
        <v>79</v>
      </c>
      <c r="R17" s="4" t="s">
        <v>267</v>
      </c>
      <c r="S17" s="3" t="s">
        <v>110</v>
      </c>
      <c r="T17" s="3" t="s">
        <v>268</v>
      </c>
      <c r="U17" s="3" t="n">
        <v>4</v>
      </c>
      <c r="V17" s="3" t="n">
        <v>5</v>
      </c>
      <c r="W17" s="4" t="s">
        <v>269</v>
      </c>
      <c r="Y17" s="3" t="s">
        <v>270</v>
      </c>
      <c r="Z17" s="3" t="s">
        <v>271</v>
      </c>
      <c r="AB17" s="3" t="s">
        <v>272</v>
      </c>
      <c r="AC17" s="3" t="s">
        <v>89</v>
      </c>
      <c r="AI17" s="3" t="s">
        <v>90</v>
      </c>
      <c r="AO17" s="3" t="s">
        <v>91</v>
      </c>
      <c r="AP17" s="3" t="s">
        <v>273</v>
      </c>
      <c r="AQ17" s="3" t="s">
        <v>274</v>
      </c>
      <c r="AS17" s="3" t="s">
        <v>275</v>
      </c>
      <c r="AT17" s="3" t="s">
        <v>96</v>
      </c>
      <c r="BM17" s="3" t="s">
        <v>98</v>
      </c>
    </row>
    <row r="18" customFormat="false" ht="22.5" hidden="false" customHeight="true" outlineLevel="0" collapsed="false">
      <c r="A18" s="2" t="n">
        <v>46308.8480900694</v>
      </c>
      <c r="B18" s="3" t="s">
        <v>67</v>
      </c>
      <c r="C18" s="3" t="s">
        <v>68</v>
      </c>
      <c r="D18" s="3" t="s">
        <v>201</v>
      </c>
      <c r="E18" s="3" t="s">
        <v>117</v>
      </c>
    </row>
    <row r="19" customFormat="false" ht="22.5" hidden="false" customHeight="true" outlineLevel="0" collapsed="false">
      <c r="A19" s="2" t="n">
        <v>46308.9016129167</v>
      </c>
      <c r="B19" s="3" t="s">
        <v>67</v>
      </c>
      <c r="C19" s="3" t="s">
        <v>68</v>
      </c>
      <c r="D19" s="3" t="s">
        <v>201</v>
      </c>
      <c r="E19" s="3" t="s">
        <v>117</v>
      </c>
    </row>
    <row r="20" customFormat="false" ht="22.5" hidden="false" customHeight="true" outlineLevel="0" collapsed="false">
      <c r="A20" s="2" t="n">
        <v>46308.9656166782</v>
      </c>
      <c r="B20" s="3" t="s">
        <v>67</v>
      </c>
      <c r="C20" s="3" t="s">
        <v>68</v>
      </c>
      <c r="D20" s="3" t="s">
        <v>69</v>
      </c>
      <c r="F20" s="3" t="s">
        <v>70</v>
      </c>
      <c r="G20" s="3" t="s">
        <v>276</v>
      </c>
      <c r="H20" s="3" t="s">
        <v>277</v>
      </c>
      <c r="I20" s="3" t="s">
        <v>166</v>
      </c>
      <c r="J20" s="3" t="s">
        <v>104</v>
      </c>
      <c r="K20" s="3" t="s">
        <v>278</v>
      </c>
      <c r="L20" s="3" t="s">
        <v>279</v>
      </c>
      <c r="M20" s="3" t="s">
        <v>107</v>
      </c>
      <c r="N20" s="3" t="s">
        <v>79</v>
      </c>
      <c r="O20" s="3" t="s">
        <v>79</v>
      </c>
      <c r="P20" s="3" t="s">
        <v>77</v>
      </c>
      <c r="Q20" s="3" t="s">
        <v>79</v>
      </c>
      <c r="R20" s="3" t="s">
        <v>280</v>
      </c>
      <c r="S20" s="3" t="s">
        <v>110</v>
      </c>
      <c r="T20" s="3" t="s">
        <v>281</v>
      </c>
      <c r="U20" s="3" t="n">
        <v>4</v>
      </c>
      <c r="V20" s="3" t="n">
        <v>3</v>
      </c>
      <c r="W20" s="3" t="s">
        <v>282</v>
      </c>
      <c r="X20" s="3" t="s">
        <v>283</v>
      </c>
      <c r="Y20" s="3" t="s">
        <v>284</v>
      </c>
      <c r="Z20" s="3" t="s">
        <v>285</v>
      </c>
      <c r="AA20" s="3" t="s">
        <v>286</v>
      </c>
      <c r="AB20" s="3" t="s">
        <v>287</v>
      </c>
      <c r="AC20" s="3" t="s">
        <v>89</v>
      </c>
      <c r="AI20" s="3" t="s">
        <v>90</v>
      </c>
      <c r="AO20" s="3" t="s">
        <v>116</v>
      </c>
      <c r="AT20" s="3" t="s">
        <v>96</v>
      </c>
      <c r="BM20" s="3" t="s">
        <v>117</v>
      </c>
    </row>
    <row r="21" customFormat="false" ht="22.5" hidden="false" customHeight="true" outlineLevel="0" collapsed="false">
      <c r="A21" s="2" t="n">
        <v>46308.9840266435</v>
      </c>
      <c r="B21" s="3" t="s">
        <v>67</v>
      </c>
      <c r="C21" s="3" t="s">
        <v>68</v>
      </c>
      <c r="D21" s="3" t="s">
        <v>69</v>
      </c>
      <c r="F21" s="3" t="s">
        <v>70</v>
      </c>
      <c r="G21" s="3" t="s">
        <v>288</v>
      </c>
      <c r="H21" s="3" t="s">
        <v>289</v>
      </c>
      <c r="I21" s="3" t="s">
        <v>73</v>
      </c>
      <c r="J21" s="3" t="s">
        <v>230</v>
      </c>
      <c r="K21" s="3" t="s">
        <v>290</v>
      </c>
      <c r="L21" s="3" t="s">
        <v>291</v>
      </c>
      <c r="M21" s="3" t="s">
        <v>79</v>
      </c>
      <c r="N21" s="3" t="s">
        <v>77</v>
      </c>
      <c r="O21" s="3" t="s">
        <v>77</v>
      </c>
      <c r="P21" s="3" t="s">
        <v>77</v>
      </c>
      <c r="Q21" s="3" t="s">
        <v>107</v>
      </c>
      <c r="R21" s="3" t="s">
        <v>292</v>
      </c>
      <c r="S21" s="3" t="s">
        <v>110</v>
      </c>
      <c r="T21" s="3" t="s">
        <v>293</v>
      </c>
      <c r="U21" s="3" t="n">
        <v>4</v>
      </c>
      <c r="V21" s="3" t="n">
        <v>5</v>
      </c>
      <c r="W21" s="3" t="s">
        <v>294</v>
      </c>
      <c r="X21" s="3" t="s">
        <v>291</v>
      </c>
      <c r="Y21" s="3" t="s">
        <v>295</v>
      </c>
      <c r="Z21" s="3" t="s">
        <v>296</v>
      </c>
      <c r="AA21" s="3" t="s">
        <v>297</v>
      </c>
      <c r="AB21" s="3" t="s">
        <v>298</v>
      </c>
      <c r="AC21" s="3" t="s">
        <v>89</v>
      </c>
      <c r="AI21" s="3" t="s">
        <v>90</v>
      </c>
      <c r="AO21" s="3" t="s">
        <v>116</v>
      </c>
      <c r="AT21" s="3" t="s">
        <v>96</v>
      </c>
      <c r="BM21" s="3" t="s">
        <v>117</v>
      </c>
    </row>
    <row r="22" customFormat="false" ht="22.5" hidden="false" customHeight="true" outlineLevel="0" collapsed="false">
      <c r="A22" s="2" t="n">
        <v>46309.0059820023</v>
      </c>
      <c r="B22" s="3" t="s">
        <v>67</v>
      </c>
      <c r="C22" s="3" t="s">
        <v>68</v>
      </c>
      <c r="D22" s="3" t="s">
        <v>201</v>
      </c>
      <c r="E22" s="3" t="s">
        <v>98</v>
      </c>
      <c r="F22" s="3" t="s">
        <v>70</v>
      </c>
      <c r="G22" s="3" t="s">
        <v>299</v>
      </c>
      <c r="H22" s="3" t="s">
        <v>300</v>
      </c>
      <c r="I22" s="3" t="s">
        <v>73</v>
      </c>
      <c r="J22" s="3" t="s">
        <v>104</v>
      </c>
      <c r="K22" s="3" t="s">
        <v>301</v>
      </c>
      <c r="L22" s="3" t="s">
        <v>302</v>
      </c>
      <c r="M22" s="3" t="s">
        <v>107</v>
      </c>
      <c r="N22" s="3" t="s">
        <v>108</v>
      </c>
      <c r="O22" s="3" t="s">
        <v>79</v>
      </c>
      <c r="P22" s="3" t="s">
        <v>77</v>
      </c>
      <c r="Q22" s="3" t="s">
        <v>77</v>
      </c>
      <c r="R22" s="3" t="s">
        <v>303</v>
      </c>
      <c r="S22" s="3" t="s">
        <v>81</v>
      </c>
      <c r="T22" s="3" t="s">
        <v>111</v>
      </c>
      <c r="U22" s="3" t="n">
        <v>4</v>
      </c>
      <c r="V22" s="3" t="n">
        <v>4</v>
      </c>
      <c r="W22" s="4" t="s">
        <v>304</v>
      </c>
      <c r="X22" s="3" t="s">
        <v>305</v>
      </c>
      <c r="Y22" s="3" t="s">
        <v>306</v>
      </c>
      <c r="Z22" s="3" t="s">
        <v>307</v>
      </c>
      <c r="AA22" s="3" t="s">
        <v>308</v>
      </c>
      <c r="AB22" s="3" t="s">
        <v>309</v>
      </c>
      <c r="AC22" s="3" t="s">
        <v>189</v>
      </c>
      <c r="AI22" s="3" t="s">
        <v>310</v>
      </c>
      <c r="AO22" s="3" t="s">
        <v>116</v>
      </c>
      <c r="AT22" s="3" t="s">
        <v>201</v>
      </c>
      <c r="AU22" s="3" t="s">
        <v>311</v>
      </c>
      <c r="AV22" s="4" t="s">
        <v>312</v>
      </c>
      <c r="AW22" s="4" t="s">
        <v>313</v>
      </c>
      <c r="AX22" s="3" t="s">
        <v>314</v>
      </c>
      <c r="AY22" s="3" t="s">
        <v>315</v>
      </c>
      <c r="AZ22" s="3" t="s">
        <v>316</v>
      </c>
      <c r="BA22" s="3" t="s">
        <v>251</v>
      </c>
      <c r="BB22" s="3" t="s">
        <v>317</v>
      </c>
      <c r="BC22" s="3" t="s">
        <v>318</v>
      </c>
      <c r="BD22" s="3" t="s">
        <v>319</v>
      </c>
      <c r="BF22" s="3" t="s">
        <v>320</v>
      </c>
      <c r="BG22" s="3" t="s">
        <v>321</v>
      </c>
      <c r="BH22" s="3" t="s">
        <v>322</v>
      </c>
      <c r="BI22" s="3" t="s">
        <v>323</v>
      </c>
      <c r="BJ22" s="3" t="s">
        <v>324</v>
      </c>
      <c r="BM22" s="3" t="s">
        <v>117</v>
      </c>
    </row>
    <row r="23" customFormat="false" ht="22.5" hidden="false" customHeight="true" outlineLevel="0" collapsed="false">
      <c r="A23" s="2" t="n">
        <v>46309.3952872569</v>
      </c>
      <c r="B23" s="3" t="s">
        <v>67</v>
      </c>
      <c r="C23" s="3" t="s">
        <v>68</v>
      </c>
      <c r="D23" s="3" t="s">
        <v>69</v>
      </c>
      <c r="F23" s="3" t="s">
        <v>70</v>
      </c>
      <c r="H23" s="3" t="s">
        <v>179</v>
      </c>
      <c r="I23" s="3" t="s">
        <v>166</v>
      </c>
      <c r="J23" s="3" t="s">
        <v>104</v>
      </c>
      <c r="K23" s="3" t="s">
        <v>325</v>
      </c>
      <c r="L23" s="3" t="s">
        <v>326</v>
      </c>
      <c r="M23" s="3" t="s">
        <v>79</v>
      </c>
      <c r="N23" s="3" t="s">
        <v>79</v>
      </c>
      <c r="O23" s="3" t="s">
        <v>77</v>
      </c>
      <c r="P23" s="3" t="s">
        <v>107</v>
      </c>
      <c r="Q23" s="3" t="s">
        <v>107</v>
      </c>
      <c r="R23" s="3" t="s">
        <v>327</v>
      </c>
      <c r="S23" s="3" t="s">
        <v>81</v>
      </c>
      <c r="T23" s="3" t="s">
        <v>328</v>
      </c>
      <c r="U23" s="3" t="n">
        <v>3</v>
      </c>
      <c r="V23" s="3" t="n">
        <v>3</v>
      </c>
      <c r="W23" s="3" t="s">
        <v>329</v>
      </c>
      <c r="X23" s="3" t="s">
        <v>330</v>
      </c>
      <c r="Y23" s="3" t="s">
        <v>331</v>
      </c>
      <c r="Z23" s="3" t="s">
        <v>332</v>
      </c>
      <c r="AA23" s="3" t="s">
        <v>333</v>
      </c>
      <c r="AB23" s="3" t="s">
        <v>334</v>
      </c>
      <c r="AC23" s="3" t="s">
        <v>89</v>
      </c>
      <c r="AI23" s="3" t="s">
        <v>90</v>
      </c>
      <c r="AO23" s="3" t="s">
        <v>174</v>
      </c>
      <c r="AP23" s="3" t="s">
        <v>335</v>
      </c>
      <c r="AR23" s="3" t="s">
        <v>336</v>
      </c>
      <c r="AS23" s="3" t="s">
        <v>337</v>
      </c>
      <c r="AT23" s="3" t="s">
        <v>96</v>
      </c>
      <c r="BL23" s="3" t="s">
        <v>338</v>
      </c>
      <c r="BM23" s="3"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85"/>
    <col collapsed="false" customWidth="true" hidden="false" outlineLevel="0" max="4" min="4" style="0" width="13"/>
  </cols>
  <sheetData>
    <row r="1" customFormat="false" ht="27" hidden="false" customHeight="true" outlineLevel="0" collapsed="false">
      <c r="A1" s="5" t="s">
        <v>339</v>
      </c>
      <c r="B1" s="5" t="s">
        <v>340</v>
      </c>
      <c r="C1" s="5" t="s">
        <v>341</v>
      </c>
      <c r="D1" s="5" t="s">
        <v>342</v>
      </c>
    </row>
    <row r="2" customFormat="false" ht="30" hidden="false" customHeight="true" outlineLevel="0" collapsed="false">
      <c r="A2" s="6" t="s">
        <v>343</v>
      </c>
      <c r="B2" s="7" t="s">
        <v>344</v>
      </c>
      <c r="C2" s="7" t="s">
        <v>345</v>
      </c>
      <c r="D2" s="8" t="n">
        <f aca="false">COUNTIF(Codifica!$C$2:$C$76,"*"&amp;A2&amp;"*")</f>
        <v>7</v>
      </c>
    </row>
    <row r="3" customFormat="false" ht="30" hidden="false" customHeight="true" outlineLevel="0" collapsed="false">
      <c r="A3" s="6" t="s">
        <v>346</v>
      </c>
      <c r="B3" s="7" t="s">
        <v>347</v>
      </c>
      <c r="C3" s="7" t="s">
        <v>348</v>
      </c>
      <c r="D3" s="8" t="n">
        <f aca="false">COUNTIF(Codifica!$C$2:$C$76,"*"&amp;A3&amp;"*")</f>
        <v>10</v>
      </c>
    </row>
    <row r="4" customFormat="false" ht="30" hidden="false" customHeight="true" outlineLevel="0" collapsed="false">
      <c r="A4" s="6" t="s">
        <v>349</v>
      </c>
      <c r="B4" s="7" t="s">
        <v>350</v>
      </c>
      <c r="C4" s="7" t="s">
        <v>351</v>
      </c>
      <c r="D4" s="8" t="n">
        <f aca="false">COUNTIF(Codifica!$C$2:$C$76,"*"&amp;A4&amp;"*")</f>
        <v>10</v>
      </c>
    </row>
    <row r="5" customFormat="false" ht="30" hidden="false" customHeight="true" outlineLevel="0" collapsed="false">
      <c r="A5" s="6" t="s">
        <v>352</v>
      </c>
      <c r="B5" s="7" t="s">
        <v>353</v>
      </c>
      <c r="C5" s="7" t="s">
        <v>354</v>
      </c>
      <c r="D5" s="8" t="n">
        <f aca="false">COUNTIF(Codifica!$C$2:$C$76,"*"&amp;A5&amp;"*")</f>
        <v>8</v>
      </c>
    </row>
    <row r="6" customFormat="false" ht="30" hidden="false" customHeight="true" outlineLevel="0" collapsed="false">
      <c r="A6" s="6" t="s">
        <v>355</v>
      </c>
      <c r="B6" s="7" t="s">
        <v>356</v>
      </c>
      <c r="C6" s="7" t="s">
        <v>357</v>
      </c>
      <c r="D6" s="8" t="n">
        <f aca="false">COUNTIF(Codifica!$C$2:$C$76,"*"&amp;A6&amp;"*")</f>
        <v>7</v>
      </c>
    </row>
    <row r="7" customFormat="false" ht="30" hidden="false" customHeight="true" outlineLevel="0" collapsed="false">
      <c r="A7" s="6" t="s">
        <v>358</v>
      </c>
      <c r="B7" s="7" t="s">
        <v>359</v>
      </c>
      <c r="C7" s="7" t="s">
        <v>360</v>
      </c>
      <c r="D7" s="8" t="n">
        <f aca="false">COUNTIF(Codifica!$C$2:$C$76,"*"&amp;A7&amp;"*")</f>
        <v>9</v>
      </c>
    </row>
    <row r="8" customFormat="false" ht="30" hidden="false" customHeight="true" outlineLevel="0" collapsed="false">
      <c r="A8" s="6" t="s">
        <v>361</v>
      </c>
      <c r="B8" s="7" t="s">
        <v>362</v>
      </c>
      <c r="C8" s="7" t="s">
        <v>363</v>
      </c>
      <c r="D8" s="8" t="n">
        <f aca="false">COUNTIF(Codifica!$C$2:$C$76,"*"&amp;A8&amp;"*")</f>
        <v>9</v>
      </c>
    </row>
    <row r="9" customFormat="false" ht="30" hidden="false" customHeight="true" outlineLevel="0" collapsed="false">
      <c r="A9" s="6" t="s">
        <v>364</v>
      </c>
      <c r="B9" s="7" t="s">
        <v>365</v>
      </c>
      <c r="C9" s="7" t="s">
        <v>366</v>
      </c>
      <c r="D9" s="8" t="n">
        <f aca="false">COUNTIF(Codifica!$C$2:$C$76,"*"&amp;A9&amp;"*")</f>
        <v>13</v>
      </c>
    </row>
    <row r="10" customFormat="false" ht="30" hidden="false" customHeight="true" outlineLevel="0" collapsed="false">
      <c r="A10" s="6" t="s">
        <v>367</v>
      </c>
      <c r="B10" s="7" t="s">
        <v>368</v>
      </c>
      <c r="C10" s="7" t="s">
        <v>369</v>
      </c>
      <c r="D10" s="8" t="n">
        <f aca="false">COUNTIF(Codifica!$C$2:$C$76,"*"&amp;A10&amp;"*")</f>
        <v>9</v>
      </c>
    </row>
    <row r="11" customFormat="false" ht="30" hidden="false" customHeight="true" outlineLevel="0" collapsed="false">
      <c r="A11" s="6" t="s">
        <v>370</v>
      </c>
      <c r="B11" s="7" t="s">
        <v>371</v>
      </c>
      <c r="C11" s="7" t="s">
        <v>372</v>
      </c>
      <c r="D11" s="8" t="n">
        <f aca="false">COUNTIF(Codifica!$C$2:$C$76,"*"&amp;A11&amp;"*")</f>
        <v>9</v>
      </c>
    </row>
    <row r="12" customFormat="false" ht="30" hidden="false" customHeight="true" outlineLevel="0" collapsed="false">
      <c r="A12" s="6" t="s">
        <v>373</v>
      </c>
      <c r="B12" s="7" t="s">
        <v>374</v>
      </c>
      <c r="C12" s="7" t="s">
        <v>375</v>
      </c>
      <c r="D12" s="8" t="n">
        <f aca="false">COUNTIF(Codifica!$C$2:$C$76,"*"&amp;A12&amp;"*")</f>
        <v>10</v>
      </c>
    </row>
    <row r="13" customFormat="false" ht="30" hidden="false" customHeight="true" outlineLevel="0" collapsed="false">
      <c r="A13" s="6" t="s">
        <v>376</v>
      </c>
      <c r="B13" s="7" t="s">
        <v>377</v>
      </c>
      <c r="C13" s="7" t="s">
        <v>378</v>
      </c>
      <c r="D13" s="8" t="n">
        <f aca="false">COUNTIF(Codifica!$C$2:$C$76,"*"&amp;A13&amp;"*")</f>
        <v>4</v>
      </c>
    </row>
    <row r="14" customFormat="false" ht="30" hidden="false" customHeight="true" outlineLevel="0" collapsed="false">
      <c r="A14" s="6" t="s">
        <v>379</v>
      </c>
      <c r="B14" s="7" t="s">
        <v>380</v>
      </c>
      <c r="C14" s="7" t="s">
        <v>381</v>
      </c>
      <c r="D14" s="8" t="n">
        <f aca="false">COUNTIF(Codifica!$C$2:$C$76,"*"&amp;A14&amp;"*")</f>
        <v>5</v>
      </c>
    </row>
    <row r="15" customFormat="false" ht="30" hidden="false" customHeight="true" outlineLevel="0" collapsed="false">
      <c r="A15" s="6" t="s">
        <v>382</v>
      </c>
      <c r="B15" s="7" t="s">
        <v>383</v>
      </c>
      <c r="C15" s="7" t="s">
        <v>384</v>
      </c>
      <c r="D15" s="8" t="n">
        <f aca="false">COUNTIF(Codifica!$C$2:$C$76,"*"&amp;A15&amp;"*")</f>
        <v>4</v>
      </c>
    </row>
    <row r="16" customFormat="false" ht="30" hidden="false" customHeight="true" outlineLevel="0" collapsed="false">
      <c r="A16" s="6" t="s">
        <v>385</v>
      </c>
      <c r="B16" s="7" t="s">
        <v>386</v>
      </c>
      <c r="C16" s="7" t="s">
        <v>387</v>
      </c>
      <c r="D16" s="8" t="n">
        <f aca="false">COUNTIF(Codifica!$C$2:$C$76,"*"&amp;A16&amp;"*")</f>
        <v>5</v>
      </c>
    </row>
    <row r="17" customFormat="false" ht="30" hidden="false" customHeight="true" outlineLevel="0" collapsed="false">
      <c r="A17" s="6" t="s">
        <v>388</v>
      </c>
      <c r="B17" s="7" t="s">
        <v>389</v>
      </c>
      <c r="C17" s="7" t="s">
        <v>390</v>
      </c>
      <c r="D17" s="8" t="n">
        <f aca="false">COUNTIF(Codifica!$C$2:$C$76,"*"&amp;A17&amp;"*")</f>
        <v>3</v>
      </c>
    </row>
    <row r="18" customFormat="false" ht="30" hidden="false" customHeight="true" outlineLevel="0" collapsed="false">
      <c r="A18" s="6" t="s">
        <v>391</v>
      </c>
      <c r="B18" s="7" t="s">
        <v>392</v>
      </c>
      <c r="C18" s="7" t="s">
        <v>393</v>
      </c>
      <c r="D18" s="8" t="n">
        <f aca="false">COUNTIF(Codifica!$C$2:$C$76,"*"&amp;A18&amp;"*")</f>
        <v>2</v>
      </c>
    </row>
    <row r="19" customFormat="false" ht="30" hidden="false" customHeight="true" outlineLevel="0" collapsed="false">
      <c r="A19" s="6" t="s">
        <v>394</v>
      </c>
      <c r="B19" s="7" t="s">
        <v>395</v>
      </c>
      <c r="C19" s="7" t="s">
        <v>396</v>
      </c>
      <c r="D19" s="8" t="n">
        <f aca="false">COUNTIF(Codifica!$C$2:$C$76,"*"&amp;A19&amp;"*")</f>
        <v>1</v>
      </c>
    </row>
    <row r="20" customFormat="false" ht="30" hidden="false" customHeight="true" outlineLevel="0" collapsed="false">
      <c r="A20" s="6" t="s">
        <v>397</v>
      </c>
      <c r="B20" s="7" t="s">
        <v>398</v>
      </c>
      <c r="C20" s="7" t="s">
        <v>399</v>
      </c>
      <c r="D20" s="8" t="n">
        <f aca="false">COUNTIF(Codifica!$C$2:$C$76,"*"&amp;A20&amp;"*")</f>
        <v>4</v>
      </c>
    </row>
    <row r="21" customFormat="false" ht="30" hidden="false" customHeight="true" outlineLevel="0" collapsed="false">
      <c r="A21" s="6" t="s">
        <v>400</v>
      </c>
      <c r="B21" s="7" t="s">
        <v>401</v>
      </c>
      <c r="C21" s="7" t="s">
        <v>402</v>
      </c>
      <c r="D21" s="8" t="n">
        <f aca="false">COUNTIF(Codifica!$C$2:$C$76,"*"&amp;A21&amp;"*")</f>
        <v>0</v>
      </c>
    </row>
    <row r="22" customFormat="false" ht="30" hidden="false" customHeight="true" outlineLevel="0" collapsed="false">
      <c r="A22" s="6" t="s">
        <v>403</v>
      </c>
      <c r="B22" s="7" t="s">
        <v>404</v>
      </c>
      <c r="C22" s="7" t="s">
        <v>405</v>
      </c>
      <c r="D22" s="8" t="n">
        <f aca="false">COUNTIF(Codifica!$C$2:$C$76,"*"&amp;A22&amp;"*")</f>
        <v>5</v>
      </c>
    </row>
  </sheetData>
  <autoFilter ref="A1:D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22"/>
    <col collapsed="false" customWidth="true" hidden="false" outlineLevel="0" max="4" min="4" style="0" width="50"/>
    <col collapsed="false" customWidth="true" hidden="false" outlineLevel="0" max="5" min="5" style="0" width="16"/>
  </cols>
  <sheetData>
    <row r="1" customFormat="false" ht="27" hidden="false" customHeight="true" outlineLevel="0" collapsed="false">
      <c r="A1" s="5" t="s">
        <v>406</v>
      </c>
      <c r="B1" s="5" t="s">
        <v>407</v>
      </c>
      <c r="C1" s="5" t="s">
        <v>408</v>
      </c>
      <c r="D1" s="5" t="s">
        <v>409</v>
      </c>
      <c r="E1" s="5" t="s">
        <v>410</v>
      </c>
    </row>
    <row r="2" customFormat="false" ht="23.85" hidden="false" customHeight="false" outlineLevel="0" collapsed="false">
      <c r="A2" s="6" t="n">
        <v>2</v>
      </c>
      <c r="B2" s="7" t="s">
        <v>75</v>
      </c>
      <c r="C2" s="6" t="s">
        <v>411</v>
      </c>
      <c r="D2" s="7" t="s">
        <v>412</v>
      </c>
      <c r="E2" s="7" t="s">
        <v>413</v>
      </c>
    </row>
    <row r="3" customFormat="false" ht="15" hidden="false" customHeight="false" outlineLevel="0" collapsed="false">
      <c r="A3" s="6" t="n">
        <v>2</v>
      </c>
      <c r="B3" s="7" t="s">
        <v>76</v>
      </c>
      <c r="C3" s="6" t="s">
        <v>346</v>
      </c>
      <c r="D3" s="7" t="s">
        <v>347</v>
      </c>
      <c r="E3" s="7" t="s">
        <v>414</v>
      </c>
    </row>
    <row r="4" customFormat="false" ht="15" hidden="false" customHeight="false" outlineLevel="0" collapsed="false">
      <c r="A4" s="6" t="n">
        <v>2</v>
      </c>
      <c r="B4" s="7" t="s">
        <v>83</v>
      </c>
      <c r="C4" s="6" t="s">
        <v>373</v>
      </c>
      <c r="D4" s="7" t="s">
        <v>374</v>
      </c>
      <c r="E4" s="7" t="s">
        <v>415</v>
      </c>
    </row>
    <row r="5" customFormat="false" ht="23.85" hidden="false" customHeight="false" outlineLevel="0" collapsed="false">
      <c r="A5" s="6" t="n">
        <v>2</v>
      </c>
      <c r="B5" s="7" t="s">
        <v>85</v>
      </c>
      <c r="C5" s="6" t="s">
        <v>370</v>
      </c>
      <c r="D5" s="7" t="s">
        <v>371</v>
      </c>
      <c r="E5" s="7" t="s">
        <v>416</v>
      </c>
    </row>
    <row r="6" customFormat="false" ht="35.05" hidden="false" customHeight="false" outlineLevel="0" collapsed="false">
      <c r="A6" s="6" t="n">
        <v>2</v>
      </c>
      <c r="B6" s="7" t="s">
        <v>88</v>
      </c>
      <c r="C6" s="6" t="s">
        <v>382</v>
      </c>
      <c r="D6" s="7" t="s">
        <v>383</v>
      </c>
      <c r="E6" s="7" t="s">
        <v>417</v>
      </c>
    </row>
    <row r="7" customFormat="false" ht="68.65" hidden="false" customHeight="false" outlineLevel="0" collapsed="false">
      <c r="A7" s="6" t="n">
        <v>3</v>
      </c>
      <c r="B7" s="7" t="s">
        <v>105</v>
      </c>
      <c r="C7" s="6" t="s">
        <v>418</v>
      </c>
      <c r="D7" s="7" t="s">
        <v>419</v>
      </c>
      <c r="E7" s="7" t="s">
        <v>413</v>
      </c>
    </row>
    <row r="8" customFormat="false" ht="23.85" hidden="false" customHeight="false" outlineLevel="0" collapsed="false">
      <c r="A8" s="6" t="n">
        <v>3</v>
      </c>
      <c r="B8" s="7" t="s">
        <v>106</v>
      </c>
      <c r="C8" s="6" t="s">
        <v>420</v>
      </c>
      <c r="D8" s="7" t="s">
        <v>421</v>
      </c>
      <c r="E8" s="7" t="s">
        <v>414</v>
      </c>
    </row>
    <row r="9" customFormat="false" ht="35.05" hidden="false" customHeight="false" outlineLevel="0" collapsed="false">
      <c r="A9" s="6" t="n">
        <v>3</v>
      </c>
      <c r="B9" s="7" t="s">
        <v>112</v>
      </c>
      <c r="C9" s="6" t="s">
        <v>422</v>
      </c>
      <c r="D9" s="7" t="s">
        <v>423</v>
      </c>
      <c r="E9" s="7" t="s">
        <v>415</v>
      </c>
    </row>
    <row r="10" customFormat="false" ht="15" hidden="false" customHeight="false" outlineLevel="0" collapsed="false">
      <c r="A10" s="6" t="n">
        <v>3</v>
      </c>
      <c r="B10" s="7" t="s">
        <v>113</v>
      </c>
      <c r="C10" s="6" t="s">
        <v>361</v>
      </c>
      <c r="D10" s="7" t="s">
        <v>362</v>
      </c>
      <c r="E10" s="7" t="s">
        <v>416</v>
      </c>
    </row>
    <row r="11" customFormat="false" ht="15" hidden="false" customHeight="false" outlineLevel="0" collapsed="false">
      <c r="A11" s="6" t="n">
        <v>3</v>
      </c>
      <c r="B11" s="7" t="s">
        <v>115</v>
      </c>
      <c r="C11" s="6" t="s">
        <v>403</v>
      </c>
      <c r="D11" s="7" t="s">
        <v>404</v>
      </c>
      <c r="E11" s="7" t="s">
        <v>417</v>
      </c>
    </row>
    <row r="12" customFormat="false" ht="35.05" hidden="false" customHeight="false" outlineLevel="0" collapsed="false">
      <c r="A12" s="6" t="n">
        <v>4</v>
      </c>
      <c r="B12" s="7" t="s">
        <v>121</v>
      </c>
      <c r="C12" s="6" t="s">
        <v>424</v>
      </c>
      <c r="D12" s="7" t="s">
        <v>425</v>
      </c>
      <c r="E12" s="7" t="s">
        <v>413</v>
      </c>
    </row>
    <row r="13" customFormat="false" ht="15" hidden="false" customHeight="false" outlineLevel="0" collapsed="false">
      <c r="A13" s="6" t="n">
        <v>4</v>
      </c>
      <c r="B13" s="7" t="s">
        <v>122</v>
      </c>
      <c r="C13" s="6" t="s">
        <v>343</v>
      </c>
      <c r="D13" s="7" t="s">
        <v>344</v>
      </c>
      <c r="E13" s="7" t="s">
        <v>414</v>
      </c>
    </row>
    <row r="14" customFormat="false" ht="35.05" hidden="false" customHeight="false" outlineLevel="0" collapsed="false">
      <c r="A14" s="6" t="n">
        <v>4</v>
      </c>
      <c r="B14" s="7" t="s">
        <v>125</v>
      </c>
      <c r="C14" s="6" t="s">
        <v>426</v>
      </c>
      <c r="D14" s="7" t="s">
        <v>427</v>
      </c>
      <c r="E14" s="7" t="s">
        <v>415</v>
      </c>
    </row>
    <row r="15" customFormat="false" ht="15" hidden="false" customHeight="false" outlineLevel="0" collapsed="false">
      <c r="A15" s="6" t="n">
        <v>4</v>
      </c>
      <c r="B15" s="7" t="s">
        <v>127</v>
      </c>
      <c r="C15" s="6" t="s">
        <v>370</v>
      </c>
      <c r="D15" s="7" t="s">
        <v>371</v>
      </c>
      <c r="E15" s="7" t="s">
        <v>416</v>
      </c>
    </row>
    <row r="16" customFormat="false" ht="35.05" hidden="false" customHeight="false" outlineLevel="0" collapsed="false">
      <c r="A16" s="6" t="n">
        <v>4</v>
      </c>
      <c r="B16" s="7" t="s">
        <v>128</v>
      </c>
      <c r="C16" s="6" t="s">
        <v>385</v>
      </c>
      <c r="D16" s="7" t="s">
        <v>386</v>
      </c>
      <c r="E16" s="7" t="s">
        <v>417</v>
      </c>
    </row>
    <row r="17" customFormat="false" ht="57.45" hidden="false" customHeight="false" outlineLevel="0" collapsed="false">
      <c r="A17" s="6" t="n">
        <v>6</v>
      </c>
      <c r="B17" s="7" t="s">
        <v>134</v>
      </c>
      <c r="C17" s="6" t="s">
        <v>428</v>
      </c>
      <c r="D17" s="7" t="s">
        <v>429</v>
      </c>
      <c r="E17" s="7" t="s">
        <v>413</v>
      </c>
    </row>
    <row r="18" customFormat="false" ht="23.85" hidden="false" customHeight="false" outlineLevel="0" collapsed="false">
      <c r="A18" s="6" t="n">
        <v>6</v>
      </c>
      <c r="B18" s="7" t="s">
        <v>135</v>
      </c>
      <c r="C18" s="6" t="s">
        <v>430</v>
      </c>
      <c r="D18" s="7" t="s">
        <v>431</v>
      </c>
      <c r="E18" s="7" t="s">
        <v>414</v>
      </c>
    </row>
    <row r="19" customFormat="false" ht="79.85" hidden="false" customHeight="false" outlineLevel="0" collapsed="false">
      <c r="A19" s="6" t="n">
        <v>6</v>
      </c>
      <c r="B19" s="7" t="s">
        <v>138</v>
      </c>
      <c r="C19" s="6" t="s">
        <v>432</v>
      </c>
      <c r="D19" s="7" t="s">
        <v>433</v>
      </c>
      <c r="E19" s="7" t="s">
        <v>415</v>
      </c>
    </row>
    <row r="20" customFormat="false" ht="23.85" hidden="false" customHeight="false" outlineLevel="0" collapsed="false">
      <c r="A20" s="6" t="n">
        <v>6</v>
      </c>
      <c r="B20" s="7" t="s">
        <v>140</v>
      </c>
      <c r="C20" s="6" t="s">
        <v>434</v>
      </c>
      <c r="D20" s="7" t="s">
        <v>435</v>
      </c>
      <c r="E20" s="7" t="s">
        <v>416</v>
      </c>
    </row>
    <row r="21" customFormat="false" ht="35.05" hidden="false" customHeight="false" outlineLevel="0" collapsed="false">
      <c r="A21" s="6" t="n">
        <v>6</v>
      </c>
      <c r="B21" s="7" t="s">
        <v>142</v>
      </c>
      <c r="C21" s="6" t="s">
        <v>397</v>
      </c>
      <c r="D21" s="7" t="s">
        <v>398</v>
      </c>
      <c r="E21" s="7" t="s">
        <v>417</v>
      </c>
    </row>
    <row r="22" customFormat="false" ht="35.05" hidden="false" customHeight="false" outlineLevel="0" collapsed="false">
      <c r="A22" s="6" t="n">
        <v>7</v>
      </c>
      <c r="B22" s="7" t="s">
        <v>155</v>
      </c>
      <c r="C22" s="6" t="s">
        <v>436</v>
      </c>
      <c r="D22" s="7" t="s">
        <v>437</v>
      </c>
      <c r="E22" s="7" t="s">
        <v>413</v>
      </c>
    </row>
    <row r="23" customFormat="false" ht="15" hidden="false" customHeight="false" outlineLevel="0" collapsed="false">
      <c r="A23" s="6" t="n">
        <v>7</v>
      </c>
      <c r="B23" s="7" t="s">
        <v>156</v>
      </c>
      <c r="C23" s="6" t="s">
        <v>343</v>
      </c>
      <c r="D23" s="7" t="s">
        <v>344</v>
      </c>
      <c r="E23" s="7" t="s">
        <v>414</v>
      </c>
    </row>
    <row r="24" customFormat="false" ht="23.85" hidden="false" customHeight="false" outlineLevel="0" collapsed="false">
      <c r="A24" s="6" t="n">
        <v>7</v>
      </c>
      <c r="B24" s="7" t="s">
        <v>159</v>
      </c>
      <c r="C24" s="6" t="s">
        <v>385</v>
      </c>
      <c r="D24" s="7" t="s">
        <v>386</v>
      </c>
      <c r="E24" s="7" t="s">
        <v>415</v>
      </c>
    </row>
    <row r="25" customFormat="false" ht="15" hidden="false" customHeight="false" outlineLevel="0" collapsed="false">
      <c r="A25" s="6" t="n">
        <v>7</v>
      </c>
      <c r="B25" s="7" t="s">
        <v>161</v>
      </c>
      <c r="C25" s="6" t="s">
        <v>361</v>
      </c>
      <c r="D25" s="7" t="s">
        <v>362</v>
      </c>
      <c r="E25" s="7" t="s">
        <v>416</v>
      </c>
    </row>
    <row r="26" customFormat="false" ht="15" hidden="false" customHeight="false" outlineLevel="0" collapsed="false">
      <c r="A26" s="6" t="n">
        <v>7</v>
      </c>
      <c r="B26" s="7" t="s">
        <v>162</v>
      </c>
      <c r="C26" s="6" t="s">
        <v>385</v>
      </c>
      <c r="D26" s="7" t="s">
        <v>386</v>
      </c>
      <c r="E26" s="7" t="s">
        <v>417</v>
      </c>
    </row>
    <row r="27" customFormat="false" ht="35.05" hidden="false" customHeight="false" outlineLevel="0" collapsed="false">
      <c r="A27" s="6" t="n">
        <v>8</v>
      </c>
      <c r="B27" s="7" t="s">
        <v>167</v>
      </c>
      <c r="C27" s="6" t="s">
        <v>438</v>
      </c>
      <c r="D27" s="7" t="s">
        <v>439</v>
      </c>
      <c r="E27" s="7" t="s">
        <v>413</v>
      </c>
    </row>
    <row r="28" customFormat="false" ht="15" hidden="false" customHeight="false" outlineLevel="0" collapsed="false">
      <c r="A28" s="6" t="n">
        <v>8</v>
      </c>
      <c r="B28" s="7" t="s">
        <v>168</v>
      </c>
      <c r="C28" s="6" t="s">
        <v>403</v>
      </c>
      <c r="D28" s="7" t="s">
        <v>404</v>
      </c>
      <c r="E28" s="7" t="s">
        <v>414</v>
      </c>
    </row>
    <row r="29" customFormat="false" ht="23.85" hidden="false" customHeight="false" outlineLevel="0" collapsed="false">
      <c r="A29" s="6" t="n">
        <v>8</v>
      </c>
      <c r="B29" s="7" t="s">
        <v>170</v>
      </c>
      <c r="C29" s="6" t="s">
        <v>440</v>
      </c>
      <c r="D29" s="7" t="s">
        <v>441</v>
      </c>
      <c r="E29" s="7" t="s">
        <v>415</v>
      </c>
    </row>
    <row r="30" customFormat="false" ht="15" hidden="false" customHeight="false" outlineLevel="0" collapsed="false">
      <c r="A30" s="6" t="n">
        <v>8</v>
      </c>
      <c r="B30" s="7" t="s">
        <v>172</v>
      </c>
      <c r="C30" s="6" t="s">
        <v>367</v>
      </c>
      <c r="D30" s="7" t="s">
        <v>368</v>
      </c>
      <c r="E30" s="7" t="s">
        <v>416</v>
      </c>
    </row>
    <row r="31" customFormat="false" ht="15" hidden="false" customHeight="false" outlineLevel="0" collapsed="false">
      <c r="A31" s="6" t="n">
        <v>8</v>
      </c>
      <c r="B31" s="7" t="s">
        <v>173</v>
      </c>
      <c r="C31" s="6" t="s">
        <v>403</v>
      </c>
      <c r="D31" s="7" t="s">
        <v>404</v>
      </c>
      <c r="E31" s="7" t="s">
        <v>417</v>
      </c>
    </row>
    <row r="32" customFormat="false" ht="79.85" hidden="false" customHeight="false" outlineLevel="0" collapsed="false">
      <c r="A32" s="6" t="n">
        <v>9</v>
      </c>
      <c r="B32" s="7" t="s">
        <v>180</v>
      </c>
      <c r="C32" s="6" t="s">
        <v>442</v>
      </c>
      <c r="D32" s="7" t="s">
        <v>443</v>
      </c>
      <c r="E32" s="7" t="s">
        <v>413</v>
      </c>
    </row>
    <row r="33" customFormat="false" ht="35.05" hidden="false" customHeight="false" outlineLevel="0" collapsed="false">
      <c r="A33" s="6" t="n">
        <v>9</v>
      </c>
      <c r="B33" s="7" t="s">
        <v>181</v>
      </c>
      <c r="C33" s="6" t="s">
        <v>444</v>
      </c>
      <c r="D33" s="7" t="s">
        <v>445</v>
      </c>
      <c r="E33" s="7" t="s">
        <v>414</v>
      </c>
    </row>
    <row r="34" customFormat="false" ht="113.4" hidden="false" customHeight="false" outlineLevel="0" collapsed="false">
      <c r="A34" s="6" t="n">
        <v>9</v>
      </c>
      <c r="B34" s="7" t="s">
        <v>184</v>
      </c>
      <c r="C34" s="6" t="s">
        <v>446</v>
      </c>
      <c r="D34" s="7" t="s">
        <v>447</v>
      </c>
      <c r="E34" s="7" t="s">
        <v>415</v>
      </c>
    </row>
    <row r="35" customFormat="false" ht="15" hidden="false" customHeight="false" outlineLevel="0" collapsed="false">
      <c r="A35" s="6" t="n">
        <v>9</v>
      </c>
      <c r="B35" s="7" t="s">
        <v>186</v>
      </c>
      <c r="C35" s="6" t="s">
        <v>370</v>
      </c>
      <c r="D35" s="7" t="s">
        <v>371</v>
      </c>
      <c r="E35" s="7" t="s">
        <v>416</v>
      </c>
    </row>
    <row r="36" customFormat="false" ht="15" hidden="false" customHeight="false" outlineLevel="0" collapsed="false">
      <c r="A36" s="6" t="n">
        <v>9</v>
      </c>
      <c r="B36" s="7" t="s">
        <v>188</v>
      </c>
      <c r="C36" s="6" t="s">
        <v>397</v>
      </c>
      <c r="D36" s="7" t="s">
        <v>398</v>
      </c>
      <c r="E36" s="7" t="s">
        <v>417</v>
      </c>
    </row>
    <row r="37" customFormat="false" ht="23.85" hidden="false" customHeight="false" outlineLevel="0" collapsed="false">
      <c r="A37" s="6" t="n">
        <v>11</v>
      </c>
      <c r="B37" s="7" t="s">
        <v>205</v>
      </c>
      <c r="C37" s="6" t="s">
        <v>448</v>
      </c>
      <c r="D37" s="7" t="s">
        <v>449</v>
      </c>
      <c r="E37" s="7" t="s">
        <v>413</v>
      </c>
    </row>
    <row r="38" customFormat="false" ht="15" hidden="false" customHeight="false" outlineLevel="0" collapsed="false">
      <c r="A38" s="6" t="n">
        <v>11</v>
      </c>
      <c r="B38" s="7" t="s">
        <v>206</v>
      </c>
      <c r="C38" s="6" t="s">
        <v>370</v>
      </c>
      <c r="D38" s="7" t="s">
        <v>371</v>
      </c>
      <c r="E38" s="7" t="s">
        <v>414</v>
      </c>
    </row>
    <row r="39" customFormat="false" ht="23.85" hidden="false" customHeight="false" outlineLevel="0" collapsed="false">
      <c r="A39" s="6" t="n">
        <v>11</v>
      </c>
      <c r="B39" s="7" t="s">
        <v>209</v>
      </c>
      <c r="C39" s="6" t="s">
        <v>450</v>
      </c>
      <c r="D39" s="7" t="s">
        <v>451</v>
      </c>
      <c r="E39" s="7" t="s">
        <v>415</v>
      </c>
    </row>
    <row r="40" customFormat="false" ht="15" hidden="false" customHeight="false" outlineLevel="0" collapsed="false">
      <c r="A40" s="6" t="n">
        <v>11</v>
      </c>
      <c r="B40" s="7" t="s">
        <v>211</v>
      </c>
      <c r="C40" s="6" t="s">
        <v>367</v>
      </c>
      <c r="D40" s="7" t="s">
        <v>368</v>
      </c>
      <c r="E40" s="7" t="s">
        <v>416</v>
      </c>
    </row>
    <row r="41" customFormat="false" ht="15" hidden="false" customHeight="false" outlineLevel="0" collapsed="false">
      <c r="A41" s="6" t="n">
        <v>11</v>
      </c>
      <c r="B41" s="7" t="s">
        <v>214</v>
      </c>
      <c r="C41" s="6" t="s">
        <v>385</v>
      </c>
      <c r="D41" s="7" t="s">
        <v>386</v>
      </c>
      <c r="E41" s="7" t="s">
        <v>417</v>
      </c>
    </row>
    <row r="42" customFormat="false" ht="23.85" hidden="false" customHeight="false" outlineLevel="0" collapsed="false">
      <c r="A42" s="6" t="n">
        <v>12</v>
      </c>
      <c r="B42" s="7" t="s">
        <v>221</v>
      </c>
      <c r="C42" s="6" t="s">
        <v>452</v>
      </c>
      <c r="D42" s="7" t="s">
        <v>453</v>
      </c>
      <c r="E42" s="7" t="s">
        <v>413</v>
      </c>
    </row>
    <row r="43" customFormat="false" ht="15" hidden="false" customHeight="false" outlineLevel="0" collapsed="false">
      <c r="A43" s="6" t="n">
        <v>12</v>
      </c>
      <c r="B43" s="7" t="s">
        <v>117</v>
      </c>
      <c r="C43" s="6" t="s">
        <v>403</v>
      </c>
      <c r="D43" s="7" t="s">
        <v>404</v>
      </c>
      <c r="E43" s="7" t="s">
        <v>414</v>
      </c>
    </row>
    <row r="44" customFormat="false" ht="23.85" hidden="false" customHeight="false" outlineLevel="0" collapsed="false">
      <c r="A44" s="6" t="n">
        <v>12</v>
      </c>
      <c r="B44" s="7" t="s">
        <v>223</v>
      </c>
      <c r="C44" s="6" t="s">
        <v>454</v>
      </c>
      <c r="D44" s="7" t="s">
        <v>455</v>
      </c>
      <c r="E44" s="7" t="s">
        <v>415</v>
      </c>
    </row>
    <row r="45" customFormat="false" ht="15" hidden="false" customHeight="false" outlineLevel="0" collapsed="false">
      <c r="A45" s="6" t="n">
        <v>12</v>
      </c>
      <c r="B45" s="7" t="s">
        <v>225</v>
      </c>
      <c r="C45" s="6" t="s">
        <v>364</v>
      </c>
      <c r="D45" s="7" t="s">
        <v>365</v>
      </c>
      <c r="E45" s="7" t="s">
        <v>416</v>
      </c>
    </row>
    <row r="46" customFormat="false" ht="15" hidden="false" customHeight="false" outlineLevel="0" collapsed="false">
      <c r="A46" s="6" t="n">
        <v>12</v>
      </c>
      <c r="B46" s="7" t="s">
        <v>227</v>
      </c>
      <c r="C46" s="6" t="s">
        <v>397</v>
      </c>
      <c r="D46" s="7" t="s">
        <v>398</v>
      </c>
      <c r="E46" s="7" t="s">
        <v>417</v>
      </c>
    </row>
    <row r="47" customFormat="false" ht="23.85" hidden="false" customHeight="false" outlineLevel="0" collapsed="false">
      <c r="A47" s="6" t="n">
        <v>14</v>
      </c>
      <c r="B47" s="7" t="s">
        <v>231</v>
      </c>
      <c r="C47" s="6" t="s">
        <v>456</v>
      </c>
      <c r="D47" s="7" t="s">
        <v>457</v>
      </c>
      <c r="E47" s="7" t="s">
        <v>413</v>
      </c>
    </row>
    <row r="48" customFormat="false" ht="35.05" hidden="false" customHeight="false" outlineLevel="0" collapsed="false">
      <c r="A48" s="6" t="n">
        <v>14</v>
      </c>
      <c r="B48" s="7" t="s">
        <v>232</v>
      </c>
      <c r="C48" s="6" t="s">
        <v>458</v>
      </c>
      <c r="D48" s="7" t="s">
        <v>459</v>
      </c>
      <c r="E48" s="7" t="s">
        <v>414</v>
      </c>
    </row>
    <row r="49" customFormat="false" ht="124.6" hidden="false" customHeight="false" outlineLevel="0" collapsed="false">
      <c r="A49" s="6" t="n">
        <v>14</v>
      </c>
      <c r="B49" s="7" t="s">
        <v>235</v>
      </c>
      <c r="C49" s="6" t="s">
        <v>460</v>
      </c>
      <c r="D49" s="7" t="s">
        <v>461</v>
      </c>
      <c r="E49" s="7" t="s">
        <v>415</v>
      </c>
    </row>
    <row r="50" customFormat="false" ht="15" hidden="false" customHeight="false" outlineLevel="0" collapsed="false">
      <c r="A50" s="6" t="n">
        <v>14</v>
      </c>
      <c r="B50" s="7" t="s">
        <v>237</v>
      </c>
      <c r="C50" s="6" t="s">
        <v>361</v>
      </c>
      <c r="D50" s="7" t="s">
        <v>362</v>
      </c>
      <c r="E50" s="7" t="s">
        <v>416</v>
      </c>
    </row>
    <row r="51" customFormat="false" ht="57.45" hidden="false" customHeight="false" outlineLevel="0" collapsed="false">
      <c r="A51" s="6" t="n">
        <v>14</v>
      </c>
      <c r="B51" s="7" t="s">
        <v>240</v>
      </c>
      <c r="C51" s="6" t="s">
        <v>394</v>
      </c>
      <c r="D51" s="7" t="s">
        <v>395</v>
      </c>
      <c r="E51" s="7" t="s">
        <v>417</v>
      </c>
    </row>
    <row r="52" customFormat="false" ht="46.25" hidden="false" customHeight="false" outlineLevel="0" collapsed="false">
      <c r="A52" s="6" t="n">
        <v>17</v>
      </c>
      <c r="B52" s="7" t="s">
        <v>265</v>
      </c>
      <c r="C52" s="6" t="s">
        <v>462</v>
      </c>
      <c r="D52" s="7" t="s">
        <v>463</v>
      </c>
      <c r="E52" s="7" t="s">
        <v>413</v>
      </c>
    </row>
    <row r="53" customFormat="false" ht="57.45" hidden="false" customHeight="false" outlineLevel="0" collapsed="false">
      <c r="A53" s="6" t="n">
        <v>17</v>
      </c>
      <c r="B53" s="7" t="s">
        <v>266</v>
      </c>
      <c r="C53" s="6" t="s">
        <v>464</v>
      </c>
      <c r="D53" s="7" t="s">
        <v>465</v>
      </c>
      <c r="E53" s="7" t="s">
        <v>414</v>
      </c>
    </row>
    <row r="54" customFormat="false" ht="57.45" hidden="false" customHeight="false" outlineLevel="0" collapsed="false">
      <c r="A54" s="6" t="n">
        <v>17</v>
      </c>
      <c r="B54" s="7" t="s">
        <v>269</v>
      </c>
      <c r="C54" s="6" t="s">
        <v>466</v>
      </c>
      <c r="D54" s="7" t="s">
        <v>467</v>
      </c>
      <c r="E54" s="7" t="s">
        <v>415</v>
      </c>
    </row>
    <row r="55" customFormat="false" ht="23.85" hidden="false" customHeight="false" outlineLevel="0" collapsed="false">
      <c r="A55" s="6" t="n">
        <v>17</v>
      </c>
      <c r="B55" s="7" t="s">
        <v>270</v>
      </c>
      <c r="C55" s="6" t="s">
        <v>468</v>
      </c>
      <c r="D55" s="7" t="s">
        <v>469</v>
      </c>
      <c r="E55" s="7" t="s">
        <v>416</v>
      </c>
    </row>
    <row r="56" customFormat="false" ht="57.45" hidden="false" customHeight="false" outlineLevel="0" collapsed="false">
      <c r="A56" s="6" t="n">
        <v>17</v>
      </c>
      <c r="B56" s="7" t="s">
        <v>272</v>
      </c>
      <c r="C56" s="6" t="s">
        <v>470</v>
      </c>
      <c r="D56" s="7" t="s">
        <v>471</v>
      </c>
      <c r="E56" s="7" t="s">
        <v>417</v>
      </c>
    </row>
    <row r="57" customFormat="false" ht="79.85" hidden="false" customHeight="false" outlineLevel="0" collapsed="false">
      <c r="A57" s="6" t="n">
        <v>20</v>
      </c>
      <c r="B57" s="7" t="s">
        <v>278</v>
      </c>
      <c r="C57" s="6" t="s">
        <v>472</v>
      </c>
      <c r="D57" s="7" t="s">
        <v>473</v>
      </c>
      <c r="E57" s="7" t="s">
        <v>413</v>
      </c>
    </row>
    <row r="58" customFormat="false" ht="15" hidden="false" customHeight="false" outlineLevel="0" collapsed="false">
      <c r="A58" s="6" t="n">
        <v>20</v>
      </c>
      <c r="B58" s="7" t="s">
        <v>279</v>
      </c>
      <c r="C58" s="6" t="s">
        <v>346</v>
      </c>
      <c r="D58" s="7" t="s">
        <v>347</v>
      </c>
      <c r="E58" s="7" t="s">
        <v>414</v>
      </c>
    </row>
    <row r="59" customFormat="false" ht="35.05" hidden="false" customHeight="false" outlineLevel="0" collapsed="false">
      <c r="A59" s="6" t="n">
        <v>20</v>
      </c>
      <c r="B59" s="7" t="s">
        <v>282</v>
      </c>
      <c r="C59" s="6" t="s">
        <v>358</v>
      </c>
      <c r="D59" s="7" t="s">
        <v>359</v>
      </c>
      <c r="E59" s="7" t="s">
        <v>415</v>
      </c>
    </row>
    <row r="60" customFormat="false" ht="15" hidden="false" customHeight="false" outlineLevel="0" collapsed="false">
      <c r="A60" s="6" t="n">
        <v>20</v>
      </c>
      <c r="B60" s="7" t="s">
        <v>284</v>
      </c>
      <c r="C60" s="6" t="s">
        <v>367</v>
      </c>
      <c r="D60" s="7" t="s">
        <v>368</v>
      </c>
      <c r="E60" s="7" t="s">
        <v>416</v>
      </c>
    </row>
    <row r="61" customFormat="false" ht="79.85" hidden="false" customHeight="false" outlineLevel="0" collapsed="false">
      <c r="A61" s="6" t="n">
        <v>20</v>
      </c>
      <c r="B61" s="7" t="s">
        <v>287</v>
      </c>
      <c r="C61" s="6" t="s">
        <v>391</v>
      </c>
      <c r="D61" s="7" t="s">
        <v>392</v>
      </c>
      <c r="E61" s="7" t="s">
        <v>417</v>
      </c>
    </row>
    <row r="62" customFormat="false" ht="23.85" hidden="false" customHeight="false" outlineLevel="0" collapsed="false">
      <c r="A62" s="6" t="n">
        <v>21</v>
      </c>
      <c r="B62" s="7" t="s">
        <v>290</v>
      </c>
      <c r="C62" s="6" t="s">
        <v>474</v>
      </c>
      <c r="D62" s="7" t="s">
        <v>475</v>
      </c>
      <c r="E62" s="7" t="s">
        <v>413</v>
      </c>
    </row>
    <row r="63" customFormat="false" ht="15" hidden="false" customHeight="false" outlineLevel="0" collapsed="false">
      <c r="A63" s="6" t="n">
        <v>21</v>
      </c>
      <c r="B63" s="7" t="s">
        <v>291</v>
      </c>
      <c r="C63" s="6" t="s">
        <v>403</v>
      </c>
      <c r="D63" s="7" t="s">
        <v>404</v>
      </c>
      <c r="E63" s="7" t="s">
        <v>414</v>
      </c>
    </row>
    <row r="64" customFormat="false" ht="15" hidden="false" customHeight="false" outlineLevel="0" collapsed="false">
      <c r="A64" s="6" t="n">
        <v>21</v>
      </c>
      <c r="B64" s="7" t="s">
        <v>294</v>
      </c>
      <c r="C64" s="6" t="s">
        <v>373</v>
      </c>
      <c r="D64" s="7" t="s">
        <v>374</v>
      </c>
      <c r="E64" s="7" t="s">
        <v>415</v>
      </c>
    </row>
    <row r="65" customFormat="false" ht="23.85" hidden="false" customHeight="false" outlineLevel="0" collapsed="false">
      <c r="A65" s="6" t="n">
        <v>21</v>
      </c>
      <c r="B65" s="7" t="s">
        <v>295</v>
      </c>
      <c r="C65" s="6" t="s">
        <v>476</v>
      </c>
      <c r="D65" s="7" t="s">
        <v>477</v>
      </c>
      <c r="E65" s="7" t="s">
        <v>416</v>
      </c>
    </row>
    <row r="66" customFormat="false" ht="15" hidden="false" customHeight="false" outlineLevel="0" collapsed="false">
      <c r="A66" s="6" t="n">
        <v>21</v>
      </c>
      <c r="B66" s="7" t="s">
        <v>298</v>
      </c>
      <c r="C66" s="6" t="s">
        <v>373</v>
      </c>
      <c r="D66" s="7" t="s">
        <v>374</v>
      </c>
      <c r="E66" s="7" t="s">
        <v>417</v>
      </c>
    </row>
    <row r="67" customFormat="false" ht="68.65" hidden="false" customHeight="false" outlineLevel="0" collapsed="false">
      <c r="A67" s="6" t="n">
        <v>22</v>
      </c>
      <c r="B67" s="7" t="s">
        <v>301</v>
      </c>
      <c r="C67" s="6" t="s">
        <v>478</v>
      </c>
      <c r="D67" s="7" t="s">
        <v>479</v>
      </c>
      <c r="E67" s="7" t="s">
        <v>413</v>
      </c>
    </row>
    <row r="68" customFormat="false" ht="23.85" hidden="false" customHeight="false" outlineLevel="0" collapsed="false">
      <c r="A68" s="6" t="n">
        <v>22</v>
      </c>
      <c r="B68" s="7" t="s">
        <v>302</v>
      </c>
      <c r="C68" s="6" t="s">
        <v>480</v>
      </c>
      <c r="D68" s="7" t="s">
        <v>481</v>
      </c>
      <c r="E68" s="7" t="s">
        <v>414</v>
      </c>
    </row>
    <row r="69" customFormat="false" ht="147" hidden="false" customHeight="false" outlineLevel="0" collapsed="false">
      <c r="A69" s="6" t="n">
        <v>22</v>
      </c>
      <c r="B69" s="7" t="s">
        <v>304</v>
      </c>
      <c r="C69" s="6" t="s">
        <v>482</v>
      </c>
      <c r="D69" s="7" t="s">
        <v>483</v>
      </c>
      <c r="E69" s="7" t="s">
        <v>415</v>
      </c>
    </row>
    <row r="70" customFormat="false" ht="15" hidden="false" customHeight="false" outlineLevel="0" collapsed="false">
      <c r="A70" s="6" t="n">
        <v>22</v>
      </c>
      <c r="B70" s="7" t="s">
        <v>306</v>
      </c>
      <c r="C70" s="6" t="s">
        <v>367</v>
      </c>
      <c r="D70" s="7" t="s">
        <v>368</v>
      </c>
      <c r="E70" s="7" t="s">
        <v>416</v>
      </c>
    </row>
    <row r="71" customFormat="false" ht="23.85" hidden="false" customHeight="false" outlineLevel="0" collapsed="false">
      <c r="A71" s="6" t="n">
        <v>22</v>
      </c>
      <c r="B71" s="7" t="s">
        <v>309</v>
      </c>
      <c r="C71" s="6" t="s">
        <v>346</v>
      </c>
      <c r="D71" s="7" t="s">
        <v>347</v>
      </c>
      <c r="E71" s="7" t="s">
        <v>417</v>
      </c>
    </row>
    <row r="72" customFormat="false" ht="23.85" hidden="false" customHeight="false" outlineLevel="0" collapsed="false">
      <c r="A72" s="6" t="n">
        <v>23</v>
      </c>
      <c r="B72" s="7" t="s">
        <v>325</v>
      </c>
      <c r="C72" s="6" t="s">
        <v>484</v>
      </c>
      <c r="D72" s="7" t="s">
        <v>485</v>
      </c>
      <c r="E72" s="7" t="s">
        <v>413</v>
      </c>
    </row>
    <row r="73" customFormat="false" ht="35.05" hidden="false" customHeight="false" outlineLevel="0" collapsed="false">
      <c r="A73" s="6" t="n">
        <v>23</v>
      </c>
      <c r="B73" s="7" t="s">
        <v>326</v>
      </c>
      <c r="C73" s="6" t="s">
        <v>444</v>
      </c>
      <c r="D73" s="7" t="s">
        <v>445</v>
      </c>
      <c r="E73" s="7" t="s">
        <v>414</v>
      </c>
    </row>
    <row r="74" customFormat="false" ht="23.85" hidden="false" customHeight="false" outlineLevel="0" collapsed="false">
      <c r="A74" s="6" t="n">
        <v>23</v>
      </c>
      <c r="B74" s="7" t="s">
        <v>329</v>
      </c>
      <c r="C74" s="6" t="s">
        <v>388</v>
      </c>
      <c r="D74" s="7" t="s">
        <v>389</v>
      </c>
      <c r="E74" s="7" t="s">
        <v>415</v>
      </c>
    </row>
    <row r="75" customFormat="false" ht="15" hidden="false" customHeight="false" outlineLevel="0" collapsed="false">
      <c r="A75" s="6" t="n">
        <v>23</v>
      </c>
      <c r="B75" s="7" t="s">
        <v>331</v>
      </c>
      <c r="C75" s="6" t="s">
        <v>367</v>
      </c>
      <c r="D75" s="7" t="s">
        <v>368</v>
      </c>
      <c r="E75" s="7" t="s">
        <v>416</v>
      </c>
    </row>
    <row r="76" customFormat="false" ht="23.85" hidden="false" customHeight="false" outlineLevel="0" collapsed="false">
      <c r="A76" s="6" t="n">
        <v>23</v>
      </c>
      <c r="B76" s="7" t="s">
        <v>334</v>
      </c>
      <c r="C76" s="6" t="s">
        <v>486</v>
      </c>
      <c r="D76" s="7" t="s">
        <v>487</v>
      </c>
      <c r="E76" s="7" t="s">
        <v>417</v>
      </c>
    </row>
  </sheetData>
  <autoFilter ref="A1:E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4" min="3" style="0" width="16"/>
    <col collapsed="false" customWidth="true" hidden="false" outlineLevel="0" max="5" min="5" style="0" width="65"/>
  </cols>
  <sheetData>
    <row r="1" customFormat="false" ht="27" hidden="false" customHeight="true" outlineLevel="0" collapsed="false">
      <c r="A1" s="5" t="s">
        <v>488</v>
      </c>
      <c r="B1" s="5" t="s">
        <v>489</v>
      </c>
      <c r="C1" s="5" t="s">
        <v>490</v>
      </c>
      <c r="D1" s="5" t="s">
        <v>491</v>
      </c>
      <c r="E1" s="5" t="s">
        <v>492</v>
      </c>
    </row>
    <row r="2" customFormat="false" ht="150" hidden="false" customHeight="true" outlineLevel="0" collapsed="false">
      <c r="A2" s="9" t="s">
        <v>493</v>
      </c>
      <c r="B2" s="10" t="s">
        <v>494</v>
      </c>
      <c r="C2" s="9" t="s">
        <v>495</v>
      </c>
      <c r="D2" s="11" t="n">
        <f aca="false">SUMPRODUCT(SIGN(ISNUMBER(SEARCH("C03",Codifica!$C$2:$C$76))+ISNUMBER(SEARCH("C04",Codifica!$C$2:$C$76))+ISNUMBER(SEARCH("C05",Codifica!$C$2:$C$76))))</f>
        <v>14</v>
      </c>
      <c r="E2" s="10" t="s">
        <v>496</v>
      </c>
    </row>
    <row r="3" customFormat="false" ht="150" hidden="false" customHeight="true" outlineLevel="0" collapsed="false">
      <c r="A3" s="9" t="s">
        <v>497</v>
      </c>
      <c r="B3" s="10" t="s">
        <v>498</v>
      </c>
      <c r="C3" s="9" t="s">
        <v>499</v>
      </c>
      <c r="D3" s="11" t="n">
        <f aca="false">SUMPRODUCT(SIGN(ISNUMBER(SEARCH("C07",Codifica!$C$2:$C$76))+ISNUMBER(SEARCH("C08",Codifica!$C$2:$C$76))+ISNUMBER(SEARCH("C09",Codifica!$C$2:$C$76))+ISNUMBER(SEARCH("C10",Codifica!$C$2:$C$76))))</f>
        <v>29</v>
      </c>
      <c r="E3" s="10" t="s">
        <v>500</v>
      </c>
    </row>
    <row r="4" customFormat="false" ht="150" hidden="false" customHeight="true" outlineLevel="0" collapsed="false">
      <c r="A4" s="9" t="s">
        <v>501</v>
      </c>
      <c r="B4" s="10" t="s">
        <v>502</v>
      </c>
      <c r="C4" s="9" t="s">
        <v>503</v>
      </c>
      <c r="D4" s="11" t="n">
        <f aca="false">SUMPRODUCT(SIGN(ISNUMBER(SEARCH("C01",Codifica!$C$2:$C$76))+ISNUMBER(SEARCH("C02",Codifica!$C$2:$C$76))+ISNUMBER(SEARCH("C11",Codifica!$C$2:$C$76))+ISNUMBER(SEARCH("C12",Codifica!$C$2:$C$76))))</f>
        <v>28</v>
      </c>
      <c r="E4" s="10" t="s">
        <v>504</v>
      </c>
    </row>
    <row r="5" customFormat="false" ht="150" hidden="false" customHeight="true" outlineLevel="0" collapsed="false">
      <c r="A5" s="9" t="s">
        <v>505</v>
      </c>
      <c r="B5" s="10" t="s">
        <v>506</v>
      </c>
      <c r="C5" s="9" t="s">
        <v>507</v>
      </c>
      <c r="D5" s="11" t="n">
        <f aca="false">SUMPRODUCT(SIGN(ISNUMBER(SEARCH("C06",Codifica!$C$2:$C$76))+ISNUMBER(SEARCH("C13",Codifica!$C$2:$C$76))+ISNUMBER(SEARCH("C14",Codifica!$C$2:$C$76))))</f>
        <v>14</v>
      </c>
      <c r="E5" s="10" t="s">
        <v>508</v>
      </c>
    </row>
    <row r="6" customFormat="false" ht="150" hidden="false" customHeight="true" outlineLevel="0" collapsed="false">
      <c r="A6" s="9" t="s">
        <v>509</v>
      </c>
      <c r="B6" s="10" t="s">
        <v>510</v>
      </c>
      <c r="C6" s="9" t="s">
        <v>511</v>
      </c>
      <c r="D6" s="11" t="n">
        <f aca="false">SUMPRODUCT(SIGN(ISNUMBER(SEARCH("C15",Codifica!$C$2:$C$76))+ISNUMBER(SEARCH("C16",Codifica!$C$2:$C$76))))</f>
        <v>8</v>
      </c>
      <c r="E6" s="10" t="s">
        <v>512</v>
      </c>
    </row>
    <row r="7" customFormat="false" ht="150" hidden="false" customHeight="true" outlineLevel="0" collapsed="false">
      <c r="A7" s="9" t="s">
        <v>513</v>
      </c>
      <c r="B7" s="10" t="s">
        <v>514</v>
      </c>
      <c r="C7" s="9" t="s">
        <v>515</v>
      </c>
      <c r="D7" s="11" t="n">
        <f aca="false">SUMPRODUCT(SIGN(ISNUMBER(SEARCH("C17",Codifica!$C$2:$C$76))+ISNUMBER(SEARCH("C18",Codifica!$C$2:$C$76))+ISNUMBER(SEARCH("C19",Codifica!$C$2:$C$76))))</f>
        <v>6</v>
      </c>
      <c r="E7" s="10"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2026-10-16T08:52:35Z</dcterms:created>
  <dc:creator>openpyxl</dc:creator>
  <dc:description/>
  <dc:language>en-US</dc:language>
  <cp:lastModifiedBy/>
  <dcterms:modified xsi:type="dcterms:W3CDTF">2026-10-16T08:52:35Z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