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viste" sheetId="1" state="visible" r:id="rId3"/>
    <sheet name="Codebook" sheetId="2" state="visible" r:id="rId4"/>
    <sheet name="Codifica" sheetId="3" state="visible" r:id="rId5"/>
    <sheet name="Temi" sheetId="4" state="visible" r:id="rId6"/>
    <sheet name="Matrice" sheetId="5" state="visible" r:id="rId7"/>
    <sheet name="Note" sheetId="6" state="visible" r:id="rId8"/>
  </sheets>
  <definedNames>
    <definedName function="false" hidden="true" localSheetId="1" name="_xlnm._FilterDatabase" vbProcedure="false">Codebook!$A$1:$E$29</definedName>
    <definedName function="false" hidden="true" localSheetId="2" name="_xlnm._FilterDatabase" vbProcedure="false">Codifica!$A$1:$E$213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<sst xmlns="http://schemas.openxmlformats.org/spreadsheetml/2006/main" count="1320" uniqueCount="607">
  <si>
    <t xml:space="preserve">ID</t>
  </si>
  <si>
    <t xml:space="preserve">File sorgente</t>
  </si>
  <si>
    <t xml:space="preserve">Tipo di data item</t>
  </si>
  <si>
    <t xml:space="preserve">Intervistatore/i</t>
  </si>
  <si>
    <t xml:space="preserve">Età</t>
  </si>
  <si>
    <t xml:space="preserve">Ruolo / professione</t>
  </si>
  <si>
    <t xml:space="preserve">Anni da remoto</t>
  </si>
  <si>
    <t xml:space="preserve">Contesto personale e spazio</t>
  </si>
  <si>
    <t xml:space="preserve">Località</t>
  </si>
  <si>
    <t xml:space="preserve">N. estratti codificati</t>
  </si>
  <si>
    <t xml:space="preserve">I01</t>
  </si>
  <si>
    <t xml:space="preserve">ImmediateUser1.md</t>
  </si>
  <si>
    <t xml:space="preserve">Immediate user</t>
  </si>
  <si>
    <t xml:space="preserve">Lisa, Francesca</t>
  </si>
  <si>
    <t xml:space="preserve">Budget e contratti per trial clinici (multinazionale farmaceutica)</t>
  </si>
  <si>
    <t xml:space="preserve">Vive con la compagna (2 giorni remoto, 3 in sede); studio dedicato</t>
  </si>
  <si>
    <t xml:space="preserve">Torino (da nota in trascrizione)</t>
  </si>
  <si>
    <t xml:space="preserve">I02</t>
  </si>
  <si>
    <t xml:space="preserve">ImmediateUser2.md</t>
  </si>
  <si>
    <t xml:space="preserve">Francesca</t>
  </si>
  <si>
    <t xml:space="preserve">Product owner (metodologia agile)</t>
  </si>
  <si>
    <t xml:space="preserve">Vive con i genitori; spazio ritagliato in casa</t>
  </si>
  <si>
    <t xml:space="preserve">n/d</t>
  </si>
  <si>
    <t xml:space="preserve">I03</t>
  </si>
  <si>
    <t xml:space="preserve">ImmediateUser3.md</t>
  </si>
  <si>
    <t xml:space="preserve">Luisa</t>
  </si>
  <si>
    <t xml:space="preserve">Solution architect (e-commerce)</t>
  </si>
  <si>
    <t xml:space="preserve">Vive con marito e figlia di 1 anno; lavora nella cameretta</t>
  </si>
  <si>
    <t xml:space="preserve">I04</t>
  </si>
  <si>
    <t xml:space="preserve">ImmediateUser4.md</t>
  </si>
  <si>
    <t xml:space="preserve">Lisa (domande), Luisa (appunti)</t>
  </si>
  <si>
    <t xml:space="preserve">Commerciale (vendita software)</t>
  </si>
  <si>
    <t xml:space="preserve">Vive con la moglie (che lavora in sede); lavora da una stanza-studio dedicata</t>
  </si>
  <si>
    <t xml:space="preserve">Stati Uniti (dedotto dall'intervista)</t>
  </si>
  <si>
    <t xml:space="preserve">I05</t>
  </si>
  <si>
    <t xml:space="preserve">ExtremeUserInterview.md</t>
  </si>
  <si>
    <t xml:space="preserve">Extreme user</t>
  </si>
  <si>
    <t xml:space="preserve">Giuseppe (domande), Lisa (appunti)</t>
  </si>
  <si>
    <t xml:space="preserve">circa 42 (stima)</t>
  </si>
  <si>
    <t xml:space="preserve">Architect / sys admin con ruolo in transizione verso il manageriale</t>
  </si>
  <si>
    <t xml:space="preserve">Semi-single (non convive); casa in montagna</t>
  </si>
  <si>
    <t xml:space="preserve">Alpi francesi</t>
  </si>
  <si>
    <t xml:space="preserve">I06</t>
  </si>
  <si>
    <t xml:space="preserve">Psychologist.md</t>
  </si>
  <si>
    <t xml:space="preserve">Esperto (psicologa)</t>
  </si>
  <si>
    <t xml:space="preserve">Psicologa; segue pazienti under 35</t>
  </si>
  <si>
    <t xml:space="preserve">Pazienti in lavoro ibrido, non full remote</t>
  </si>
  <si>
    <t xml:space="preserve">Totale</t>
  </si>
  <si>
    <t xml:space="preserve">Controllo: totale = righe di Codifica?</t>
  </si>
  <si>
    <t xml:space="preserve">Codice</t>
  </si>
  <si>
    <t xml:space="preserve">Etichetta</t>
  </si>
  <si>
    <t xml:space="preserve">Descrizione</t>
  </si>
  <si>
    <t xml:space="preserve">N. segmenti</t>
  </si>
  <si>
    <t xml:space="preserve">N. interviste (su 6)</t>
  </si>
  <si>
    <t xml:space="preserve">C01</t>
  </si>
  <si>
    <t xml:space="preserve">Struttura della giornata e routine</t>
  </si>
  <si>
    <t xml:space="preserve">Include orari di inizio e fine, scansione fissa o variabile della giornata, routine quotidiane e il modo in cui l'organizzazione del lavoro modella il resto della giornata.</t>
  </si>
  <si>
    <t xml:space="preserve">C02</t>
  </si>
  <si>
    <t xml:space="preserve">Carico di lavoro variabile e imprevisti</t>
  </si>
  <si>
    <t xml:space="preserve">Include picchi e cali di attività, emergenze, richieste dell'ultimo minuto e giornate che cambiano rispetto a quanto previsto.</t>
  </si>
  <si>
    <t xml:space="preserve">C03</t>
  </si>
  <si>
    <t xml:space="preserve">Pause, pranzo e micro-interruzioni</t>
  </si>
  <si>
    <t xml:space="preserve">Include pausa pranzo, spuntini, faccende domestiche usate come stacco, pause dagli schermi, e la difficoltà o rinuncia a fare pause per il carico di lavoro.</t>
  </si>
  <si>
    <t xml:space="preserve">C04</t>
  </si>
  <si>
    <t xml:space="preserve">Comunicazione e coordinamento con il team</t>
  </si>
  <si>
    <t xml:space="preserve">Include riunioni, call, chat ed email, la difficoltà di raggiungere i colleghi, la chiarezza comunicativa e il coordinamento sincrono e asincrono.</t>
  </si>
  <si>
    <t xml:space="preserve">C05</t>
  </si>
  <si>
    <t xml:space="preserve">Lavoro fuori orario e confini permeabili</t>
  </si>
  <si>
    <t xml:space="preserve">Include messaggi o attività fuori orario, reperibilità, impatto percepito, e la tolleranza o preferenza per una separazione meno netta tra lavoro e vita privata.</t>
  </si>
  <si>
    <t xml:space="preserve">C06</t>
  </si>
  <si>
    <t xml:space="preserve">Strategie e rituali di separazione digitale</t>
  </si>
  <si>
    <t xml:space="preserve">Include spegnere PC e telefono aziendale, non installare account di lavoro sul telefono personale, blocchi automatici di accesso, notifiche silenziate e limiti di orario per le email.</t>
  </si>
  <si>
    <t xml:space="preserve">C07</t>
  </si>
  <si>
    <t xml:space="preserve">Spazio fisico di lavoro e setup</t>
  </si>
  <si>
    <t xml:space="preserve">Include stanza o postazione dedicata, scrivania, monitor, sedia, ordine, rumori, e il non entrare nello spazio di lavoro fuori orario.</t>
  </si>
  <si>
    <t xml:space="preserve">C08</t>
  </si>
  <si>
    <t xml:space="preserve">Interruzioni e presenza di altre persone in casa</t>
  </si>
  <si>
    <t xml:space="preserve">Include familiari, partner, vicini, manutenzione, animali e le regole o gli accordi per gestirli durante il lavoro.</t>
  </si>
  <si>
    <t xml:space="preserve">C09</t>
  </si>
  <si>
    <t xml:space="preserve">Famiglia, convivenza e conciliazione</t>
  </si>
  <si>
    <t xml:space="preserve">Include figli, partner e genitori, la gestione degli impegni familiari accanto al lavoro e le dinamiche di coppia o familiari legate al remoto.</t>
  </si>
  <si>
    <t xml:space="preserve">C10</t>
  </si>
  <si>
    <t xml:space="preserve">Assenza di pendolarismo e tempo restituito</t>
  </si>
  <si>
    <t xml:space="preserve">Include l'azzeramento di spostamenti e traffico, i tempi di cena e serata, e il vantaggio di essere già a casa a fine giornata.</t>
  </si>
  <si>
    <t xml:space="preserve">C11</t>
  </si>
  <si>
    <t xml:space="preserve">Flessibilità, autonomia e gestione del tempo</t>
  </si>
  <si>
    <t xml:space="preserve">Include la libertà di organizzare la giornata, incastrare hobby e impegni personali, il controllo dell'ambiente e la valutazione per risultati anziché per presenza.</t>
  </si>
  <si>
    <t xml:space="preserve">C12</t>
  </si>
  <si>
    <t xml:space="preserve">Uscire di casa, movimento e tempo libero</t>
  </si>
  <si>
    <t xml:space="preserve">Include palestra, sport, passeggiate, commissioni, giornate senza uscire e la necessità di imporsi di uscire.</t>
  </si>
  <si>
    <t xml:space="preserve">C13</t>
  </si>
  <si>
    <t xml:space="preserve">Amicizie e socialità extra-lavorativa</t>
  </si>
  <si>
    <t xml:space="preserve">Include la rete di amici scelti per passioni, le uscite nel weekend, l'assenza di amicizie nate dal lavoro e la fatica di costruire una cerchia sociale.</t>
  </si>
  <si>
    <t xml:space="preserve">C14</t>
  </si>
  <si>
    <t xml:space="preserve">Relazioni con i colleghi</t>
  </si>
  <si>
    <t xml:space="preserve">Include rapporti di sola conoscenza, selettività, legami rallentati o più superficiali, pettegolezzi e il contrasto tra rapporti scelti e rapporti imposti.</t>
  </si>
  <si>
    <t xml:space="preserve">C15</t>
  </si>
  <si>
    <t xml:space="preserve">Incontri di persona e fiducia</t>
  </si>
  <si>
    <t xml:space="preserve">Include trasferte, primi incontri, aperitivi, eventi dal vivo e il loro effetto sulla confidenza e sulla qualità dei rapporti.</t>
  </si>
  <si>
    <t xml:space="preserve">C16</t>
  </si>
  <si>
    <t xml:space="preserve">Apprendimento, onboarding e supporto a distanza</t>
  </si>
  <si>
    <t xml:space="preserve">Include imparare più lentamente, non poter chiedere subito, le difficoltà dei nuovi arrivati, la reticenza a chiedere aiuto e il mentoring virtuale.</t>
  </si>
  <si>
    <t xml:space="preserve">C17</t>
  </si>
  <si>
    <t xml:space="preserve">Isolamento e rischio di alienazione</t>
  </si>
  <si>
    <t xml:space="preserve">Include solitudine, «bolla» domestica, rischio di isolamento sociale e difficoltà relazionali anche fuori dal lavoro.</t>
  </si>
  <si>
    <t xml:space="preserve">C18</t>
  </si>
  <si>
    <t xml:space="preserve">Stress, preoccupazione e difficoltà a staccare</t>
  </si>
  <si>
    <t xml:space="preserve">Include l'impossibilità di staccare mentalmente, ansia da pressione, rischio burnout, iperconnessione e la normalizzazione della mancata pausa.</t>
  </si>
  <si>
    <t xml:space="preserve">C19</t>
  </si>
  <si>
    <t xml:space="preserve">Presenza online e visibilità</t>
  </si>
  <si>
    <t xml:space="preserve">Include il dover dimostrare di essere attivi e reperibili, l'ansia di sembrare assenti e, al contrario, l'assenza di controllo sugli orari di connessione.</t>
  </si>
  <si>
    <t xml:space="preserve">C20</t>
  </si>
  <si>
    <t xml:space="preserve">Ibrido, presenza fisica e ufficio</t>
  </si>
  <si>
    <t xml:space="preserve">Include il desiderio di giorni in ufficio, i vantaggi percepiti della presenza, la raccomandazione di modelli ibridi e il confronto con il lavoro in sede.</t>
  </si>
  <si>
    <t xml:space="preserve">C21</t>
  </si>
  <si>
    <t xml:space="preserve">Tutele, normativa e infrastruttura organizzativa</t>
  </si>
  <si>
    <t xml:space="preserve">Include garanzie contrattuali, normativa su telelavoro e lavoro agile, documentazione carente, strumenti IT non integrati e il rischio di richiami in sede.</t>
  </si>
  <si>
    <t xml:space="preserve">C22</t>
  </si>
  <si>
    <t xml:space="preserve">Meno distrazioni e produttività</t>
  </si>
  <si>
    <t xml:space="preserve">Include la riduzione di chiacchiere, pettegolezzi e perdite di tempo con i colleghi e il conseguente guadagno di concentrazione.</t>
  </si>
  <si>
    <t xml:space="preserve">C23</t>
  </si>
  <si>
    <t xml:space="preserve">Salute fisica ed ergonomia</t>
  </si>
  <si>
    <t xml:space="preserve">Include postura, sedia, scrivania regolabile, affaticamento visivo e sedentarietà.</t>
  </si>
  <si>
    <t xml:space="preserve">C24</t>
  </si>
  <si>
    <t xml:space="preserve">Mobilità geografica e radicamento territoriale</t>
  </si>
  <si>
    <t xml:space="preserve">Include la scelta del luogo di vita, la vicinanza ai genitori, la vita in montagna o in paese e l'inserimento nella comunità locale.</t>
  </si>
  <si>
    <t xml:space="preserve">C25</t>
  </si>
  <si>
    <t xml:space="preserve">Cultura organizzativa e valori generazionali</t>
  </si>
  <si>
    <t xml:space="preserve">Include aspettative e valori dei giovani, il ruolo dell'impresa nel fissare limiti, la mentalità «da ufficio» e il divario tra generazioni.</t>
  </si>
  <si>
    <t xml:space="preserve">C26</t>
  </si>
  <si>
    <t xml:space="preserve">Scelta o imposizione del lavoro da remoto</t>
  </si>
  <si>
    <t xml:space="preserve">Include chi ha scelto il remoto e chi lo ha ricevuto dall'azienda, e il remoto vissuto come normalità.</t>
  </si>
  <si>
    <t xml:space="preserve">ALTRO</t>
  </si>
  <si>
    <t xml:space="preserve">Contenuto pertinente non codificato</t>
  </si>
  <si>
    <t xml:space="preserve">Include contenuti pertinenti che non rientrano nei codici C01–C26.</t>
  </si>
  <si>
    <t xml:space="preserve">NP</t>
  </si>
  <si>
    <t xml:space="preserve">Risposta non pertinente, vuota o non informativa</t>
  </si>
  <si>
    <t xml:space="preserve">Include risposte prive di contenuto informativo o rimandate.</t>
  </si>
  <si>
    <t xml:space="preserve">Estratto (verbatim)</t>
  </si>
  <si>
    <t xml:space="preserve">Codici (separati da virgola)</t>
  </si>
  <si>
    <t xml:space="preserve">Etichette dei codici</t>
  </si>
  <si>
    <t xml:space="preserve">Sezione / domanda guida (solo tracciabilità)</t>
  </si>
  <si>
    <t xml:space="preserve">Quindi è un redigere, dopo aspettare oppure fare altro, insomma, trovare qualcos'altro da fare.</t>
  </si>
  <si>
    <t xml:space="preserve">C01, C02</t>
  </si>
  <si>
    <t xml:space="preserve">Struttura della giornata e routine, Carico di lavoro variabile e imprevisti</t>
  </si>
  <si>
    <t xml:space="preserve">Giornata tipica</t>
  </si>
  <si>
    <t xml:space="preserve">quindi va molto a ondate sostanzialmente</t>
  </si>
  <si>
    <t xml:space="preserve">Routine</t>
  </si>
  <si>
    <t xml:space="preserve">Nessuno mi controlla a che ora mi loggo su Teams o quando rispondo</t>
  </si>
  <si>
    <t xml:space="preserve">C11, C19</t>
  </si>
  <si>
    <t xml:space="preserve">Flessibilità, autonomia e gestione del tempo, Presenza online e visibilità</t>
  </si>
  <si>
    <t xml:space="preserve">A loro interessa solo che, consegno le cose in tempo e otteniamo i risultati. Tutto il resto, come mi gestisco la giornata sta a me insomma.</t>
  </si>
  <si>
    <t xml:space="preserve">dopo un po' ho gli occhi... Non ce la fanno più, quindi comunque devo staccare</t>
  </si>
  <si>
    <t xml:space="preserve">C03, C23</t>
  </si>
  <si>
    <t xml:space="preserve">Pause, pranzo e micro-interruzioni, Salute fisica ed ergonomia</t>
  </si>
  <si>
    <t xml:space="preserve">Pause</t>
  </si>
  <si>
    <t xml:space="preserve">sono proprio autonomo. Quindi per esempio adesso io dovrei finire alle cinque e mezza, però ho staccato.</t>
  </si>
  <si>
    <t xml:space="preserve">C03, C11</t>
  </si>
  <si>
    <t xml:space="preserve">Pause, pranzo e micro-interruzioni, Flessibilità, autonomia e gestione del tempo</t>
  </si>
  <si>
    <t xml:space="preserve">o sport o comunque se esco vado in giro a fare fotografie o comunque mi vedo con altre persone che conosco</t>
  </si>
  <si>
    <t xml:space="preserve">C12, C13</t>
  </si>
  <si>
    <t xml:space="preserve">Uscire di casa, movimento e tempo libero, Amicizie e socialità extra-lavorativa</t>
  </si>
  <si>
    <t xml:space="preserve">Anche perché comunque lo gestisco io il tempo di lavoro. Quindi raramente, molto raramente, forse una volta all'anno.</t>
  </si>
  <si>
    <t xml:space="preserve">C05, C11</t>
  </si>
  <si>
    <t xml:space="preserve">Lavoro fuori orario e confini permeabili, Flessibilità, autonomia e gestione del tempo</t>
  </si>
  <si>
    <t xml:space="preserve">Lavoro fuori orario</t>
  </si>
  <si>
    <t xml:space="preserve">Dovrei. Però onestamente neanche una persona che lavora in ufficio le riempie mai quelle ore là.</t>
  </si>
  <si>
    <t xml:space="preserve">essendo che siamo comunque molto flessibili non mi pesa controllare le mail fuori dall'orario lavorativo, perché non succede molte volte</t>
  </si>
  <si>
    <t xml:space="preserve">conosco altre persone che ovviamente lavorano molto di più e lì il non riuscire a staccare pesa, mentalmente pesa tanto</t>
  </si>
  <si>
    <t xml:space="preserve">C18, C05</t>
  </si>
  <si>
    <t xml:space="preserve">Stress, preoccupazione e difficoltà a staccare, Lavoro fuori orario e confini permeabili</t>
  </si>
  <si>
    <t xml:space="preserve">Ho lo studio dove ho il set up, quindi computer, scrivania, dopo se devo fare altro lo faccio fuori dallo studio.</t>
  </si>
  <si>
    <t xml:space="preserve">Separazione lavoro-vita privata</t>
  </si>
  <si>
    <t xml:space="preserve">vivo con una ragazza, lei fa due giorni da remoto</t>
  </si>
  <si>
    <t xml:space="preserve">Sì, dai gatti sì.</t>
  </si>
  <si>
    <t xml:space="preserve">Persone intorno e interruzioni</t>
  </si>
  <si>
    <t xml:space="preserve">E allora lì semplicemente dico alla ragazza di non interrompermi.</t>
  </si>
  <si>
    <t xml:space="preserve">apprezzo molto vedendo anche chi lavora qua, con che ritmi lavorano, cioè so di essere fortunato comunque</t>
  </si>
  <si>
    <t xml:space="preserve">C11, C25</t>
  </si>
  <si>
    <t xml:space="preserve">Flessibilità, autonomia e gestione del tempo, Cultura organizzativa e valori generazionali</t>
  </si>
  <si>
    <t xml:space="preserve">Apprezzamento del remoto</t>
  </si>
  <si>
    <t xml:space="preserve">se uno non ha degli hobby o comunque non è propenso a uscire o, soprattutto muovendosi in un'altra città, a crearsi una cerchia sociale è tanto isolante, alienante</t>
  </si>
  <si>
    <t xml:space="preserve">C17, C13</t>
  </si>
  <si>
    <t xml:space="preserve">Isolamento e rischio di alienazione, Amicizie e socialità extra-lavorativa</t>
  </si>
  <si>
    <t xml:space="preserve">Difficoltà del remoto</t>
  </si>
  <si>
    <t xml:space="preserve">Uno deve essere in grado di riuscire a uscire perché è comunque una bolla.</t>
  </si>
  <si>
    <t xml:space="preserve">era proprio il classico lavoro dove magari facevi fatica a staccare, tornavi a casa, dovevi pensare comunque agli esperimenti del giorno dopo</t>
  </si>
  <si>
    <t xml:space="preserve">C18, C20</t>
  </si>
  <si>
    <t xml:space="preserve">Stress, preoccupazione e difficoltà a staccare, Ibrido, presenza fisica e ufficio</t>
  </si>
  <si>
    <t xml:space="preserve">Esperienze in presenza</t>
  </si>
  <si>
    <t xml:space="preserve">qui mi scelgo le relazioni sociali</t>
  </si>
  <si>
    <t xml:space="preserve">tanti diventano amici colleghi, cioè più colleghi che amici, quindi condividi un po' il dolore tra virgolette</t>
  </si>
  <si>
    <t xml:space="preserve">C14, C13</t>
  </si>
  <si>
    <t xml:space="preserve">Relazioni con i colleghi, Amicizie e socialità extra-lavorativa</t>
  </si>
  <si>
    <t xml:space="preserve">me li scelgo in base a passioni, quindi sì, cioè sono proprio amici, condividiamo più cose</t>
  </si>
  <si>
    <t xml:space="preserve">Ci ho messo un po' di tempo prima di trovare una cerchia sociale un po' abbastanza stabile</t>
  </si>
  <si>
    <t xml:space="preserve">Vita sociale e uscite</t>
  </si>
  <si>
    <t xml:space="preserve">Uno deve avere pazienza, tanta pazienza.</t>
  </si>
  <si>
    <t xml:space="preserve">Di solito comunque un giorno o due sempre qualche commissione c'è da fare. Le altre sono più, più per svago, ecco.</t>
  </si>
  <si>
    <t xml:space="preserve">magari mi porto dietro il computer e esco proprio dalla città, vado da qualche parte dove ovviamente c'è campo e lavoro, non so, mi metto in natura da qualche parte</t>
  </si>
  <si>
    <t xml:space="preserve">C11, C12</t>
  </si>
  <si>
    <t xml:space="preserve">Flessibilità, autonomia e gestione del tempo, Uscire di casa, movimento e tempo libero</t>
  </si>
  <si>
    <t xml:space="preserve">Un giorno dentro ci sta anche sinceramente a rilassarsi e star tranquillo</t>
  </si>
  <si>
    <t xml:space="preserve">oltre una certa età tendono a non uscire più durante la settimana, o per famiglia o per altre cose</t>
  </si>
  <si>
    <t xml:space="preserve">li ho visti solo una volta dal vivo quando ero ancora su in nei Paesi Bassi</t>
  </si>
  <si>
    <t xml:space="preserve">C14, C15</t>
  </si>
  <si>
    <t xml:space="preserve">Relazioni con i colleghi, Incontri di persona e fiducia</t>
  </si>
  <si>
    <t xml:space="preserve">Rapporti con i colleghi</t>
  </si>
  <si>
    <t xml:space="preserve">Siamo più conoscenti, dopo sì, ridiamo, scherziamo, ci diamo battute durante il meeting, però è sempre un rapporto virtuale.</t>
  </si>
  <si>
    <t xml:space="preserve">non parliamo mai di cose, ecco, profonde come parleresti magari quando sei in sede</t>
  </si>
  <si>
    <t xml:space="preserve">C14, C20</t>
  </si>
  <si>
    <t xml:space="preserve">Relazioni con i colleghi, Ibrido, presenza fisica e ufficio</t>
  </si>
  <si>
    <t xml:space="preserve">il tavolo comunque l'ho scelto regolabile in altezza perché comunque stando sempre seduto non è ottimale</t>
  </si>
  <si>
    <t xml:space="preserve">C23, C07</t>
  </si>
  <si>
    <t xml:space="preserve">Salute fisica ed ergonomia, Spazio fisico di lavoro e setup</t>
  </si>
  <si>
    <t xml:space="preserve">Spazio di lavoro</t>
  </si>
  <si>
    <t xml:space="preserve">avendo una zona mia sì, ho molte meno distrazioni, riesco a lavorare meglio</t>
  </si>
  <si>
    <t xml:space="preserve">io ho usato i primi sei mesi per capire un attimo quanto spazio di manovra avessi per gestirmi il tempo e la giornata lavorativa</t>
  </si>
  <si>
    <t xml:space="preserve">C01, C11</t>
  </si>
  <si>
    <t xml:space="preserve">Struttura della giornata e routine, Flessibilità, autonomia e gestione del tempo</t>
  </si>
  <si>
    <t xml:space="preserve">Evoluzione nel tempo</t>
  </si>
  <si>
    <t xml:space="preserve">se io dico vado un'ora a fare una commissione, non mi chiede mai dove vado e viceversa, anche lui</t>
  </si>
  <si>
    <t xml:space="preserve">riuscire a incastrare l'hobby con il lavoro</t>
  </si>
  <si>
    <t xml:space="preserve">E tante volte perdevi un'ora, due ore solo così, quando in realtà sarebbe un lavoro di cinque minuti.</t>
  </si>
  <si>
    <t xml:space="preserve">C04, C21</t>
  </si>
  <si>
    <t xml:space="preserve">Comunicazione e coordinamento con il team, Tutele, normativa e infrastruttura organizzativa</t>
  </si>
  <si>
    <t xml:space="preserve">Difficoltà lavorative</t>
  </si>
  <si>
    <t xml:space="preserve">magari li trova nel corridoio, oppure va nell'ufficio, li trova subito, gli chiede una roba immediatamente e fa presto. Io no</t>
  </si>
  <si>
    <t xml:space="preserve">C04, C20</t>
  </si>
  <si>
    <t xml:space="preserve">Comunicazione e coordinamento con il team, Ibrido, presenza fisica e ufficio</t>
  </si>
  <si>
    <t xml:space="preserve">tante persone magari fanno finta di essere offline per non essere disturbati</t>
  </si>
  <si>
    <t xml:space="preserve">devi tirar fuori le armi grosse, quindi implica mandare una email con il manager in cc</t>
  </si>
  <si>
    <t xml:space="preserve">l'importante è essere chiari, soprattutto perché non vedendosi mai</t>
  </si>
  <si>
    <t xml:space="preserve">Aspetti emersi nel tempo</t>
  </si>
  <si>
    <t xml:space="preserve">il fatto di poter incontrare più di frequente i miei colleghi mi ha aiutato ad integrarmi nel contesto lavorativo</t>
  </si>
  <si>
    <t xml:space="preserve">C15, C16</t>
  </si>
  <si>
    <t xml:space="preserve">Incontri di persona e fiducia, Apprendimento, onboarding e supporto a distanza</t>
  </si>
  <si>
    <t xml:space="preserve">aver conosciuto le persone in quanto c'è stato un primo incontro, prima dell'inizio effettivo poi del lavoro, mi ha sicuramente aiutato nel costruire un rapporto umano</t>
  </si>
  <si>
    <t xml:space="preserve">noto sicuramente una differenza tra le persone conosciute dal vivo e le persone che invece non abbiamo mai incontrato di persona</t>
  </si>
  <si>
    <t xml:space="preserve">C15, C14</t>
  </si>
  <si>
    <t xml:space="preserve">Incontri di persona e fiducia, Relazioni con i colleghi</t>
  </si>
  <si>
    <t xml:space="preserve">Ho acceso il PC alle nove e un quarto circa.</t>
  </si>
  <si>
    <t xml:space="preserve">ogni giorno alle nove e quarantacinque abbiamo un meeting, in cui tutto il team si riunisce per discutere di ciò che è stato fatto il giorno prima e di ciò che verrà fatto il giorno corrente</t>
  </si>
  <si>
    <t xml:space="preserve">C04, C01</t>
  </si>
  <si>
    <t xml:space="preserve">Comunicazione e coordinamento con il team, Struttura della giornata e routine</t>
  </si>
  <si>
    <t xml:space="preserve">La giornata si è alternata tra, appunto, attività, autonome e call con colleghi</t>
  </si>
  <si>
    <t xml:space="preserve">ho fatto altre pause in cui mi sono svagata tramite l'utilizzo del cellulare</t>
  </si>
  <si>
    <t xml:space="preserve">cerco sempre di portare prima a termine l'attività che avevo, in corso, altrimenti fare una pausa in mezzo rischierebbe di distrarmi e di farmi perdere il filo</t>
  </si>
  <si>
    <t xml:space="preserve">nessuna giornata è uguale alle altre, in quanto possono sopraggiungere diversi imprevisti</t>
  </si>
  <si>
    <t xml:space="preserve">Giornate diverse</t>
  </si>
  <si>
    <t xml:space="preserve">gli utenti ci hanno comunicato pochi giorni prima appunto la scadenza della release, la loro volontà di inserire dei nuovi requisiti</t>
  </si>
  <si>
    <t xml:space="preserve">siamo riusciti ad accogliere quella che era la necessità dell'utente andando comunque a minimizzare l'impatto sul team prevenendo pressioni o comunque, ehm, lavorare in uno stato comunque di ansia e pressione</t>
  </si>
  <si>
    <t xml:space="preserve">C02, C18, C11</t>
  </si>
  <si>
    <t xml:space="preserve">Carico di lavoro variabile e imprevisti, Stress, preoccupazione e difficoltà a staccare, Flessibilità, autonomia e gestione del tempo</t>
  </si>
  <si>
    <t xml:space="preserve">riesco sempre a chiudere la mia attività lavorativa nell'orario lavorativo che appunto termina alle 18:00. Raramente mi è capitato di andare oltre</t>
  </si>
  <si>
    <t xml:space="preserve">C05, C01</t>
  </si>
  <si>
    <t xml:space="preserve">Lavoro fuori orario e confini permeabili, Struttura della giornata e routine</t>
  </si>
  <si>
    <t xml:space="preserve">ho evitato di installare sul mio telefono personale account di lavoro. Questo mi permette quindi, una volta terminato l'orario lavorativo, di evitare che io possa essere distratta da eventuali mail lavorative o comunque comunicazioni di lavoro.</t>
  </si>
  <si>
    <t xml:space="preserve">è capitato spesso che venissi interrotta magari dall'arrivo di mia madre, di mio padre o di un mio familiare in generale</t>
  </si>
  <si>
    <t xml:space="preserve">C08, C09</t>
  </si>
  <si>
    <t xml:space="preserve">Interruzioni e presenza di altre persone in casa, Famiglia, convivenza e conciliazione</t>
  </si>
  <si>
    <t xml:space="preserve">loro adesso ormai conoscono il mio orario lavorativo, quindi conoscono anche, diciamo, le pratiche lavorative per cui cercano sempre di essere silenziosi, di non far rumore, di essere abbastanza appunto discreti</t>
  </si>
  <si>
    <t xml:space="preserve">Se sto facendo qualcosa che richiede molta concentrazione, chiaramente, eh, chiedo di non essere interrotta</t>
  </si>
  <si>
    <t xml:space="preserve">se avessi invece avuto un lavoro che avesse richiesto la presenza, avrebbero causato sicuramente delle ripercussioni sulla qualità della mia vita</t>
  </si>
  <si>
    <t xml:space="preserve">il lavoro da remoto, mi ha sempre permesso di essere abbastanza flessibile anche nell'organizzazione della mia vita personale</t>
  </si>
  <si>
    <t xml:space="preserve">Il fatto di lavorare da casa mi permette subito dopo le 18 di poter tranquillamente raggiungere eventuali altri posti senza dover prima appunto prendere mezzi per passare a casa</t>
  </si>
  <si>
    <t xml:space="preserve">C10, C11</t>
  </si>
  <si>
    <t xml:space="preserve">Assenza di pendolarismo e tempo restituito, Flessibilità, autonomia e gestione del tempo</t>
  </si>
  <si>
    <t xml:space="preserve">l'unico momento difficile che mi viene in mente è durante l'inizio appunto di un nuovo percorso lavorativo o durante l'inizio di un nuovo lavoro all'interno di un nuovo team</t>
  </si>
  <si>
    <t xml:space="preserve">Sono state tutte uscite legate ad attività extra lavorative e personali</t>
  </si>
  <si>
    <t xml:space="preserve">Non avevo nessun tipo di appuntamento, commissione o comunque, ehm, non c'era nulla che mi portasse ad uscire.</t>
  </si>
  <si>
    <t xml:space="preserve">una per una commissione in cui sono stata accompagnata da mia mamma e l'ultima invece è stata un'uscita appunto di svago in cui mi sono incontrata con un gruppo di amici</t>
  </si>
  <si>
    <t xml:space="preserve">C12, C13, C09</t>
  </si>
  <si>
    <t xml:space="preserve">Uscire di casa, movimento e tempo libero, Amicizie e socialità extra-lavorativa, Famiglia, convivenza e conciliazione</t>
  </si>
  <si>
    <t xml:space="preserve">da quando ci siamo conosciuti di persona il nostro rapporto è diventato molto più confidenziale</t>
  </si>
  <si>
    <t xml:space="preserve">il fatto di non condividere con il resto del mio team tutti i momenti che invece il resto del team condivide, come appunto la condivisione del pranzo quando si va in ufficio, avrebbe potuto avere un impatto negativo sulla mia esperienza</t>
  </si>
  <si>
    <t xml:space="preserve">Probabilmente sì, non avrebbe raggiunto questo livello di confidenza.</t>
  </si>
  <si>
    <t xml:space="preserve">ho cercato di ritagliarmi uno spazio in cui potessi essere diciamo tranquilla, non sempre frequentato dal resto della mia famiglia</t>
  </si>
  <si>
    <t xml:space="preserve">C07, C08</t>
  </si>
  <si>
    <t xml:space="preserve">Spazio fisico di lavoro e setup, Interruzioni e presenza di altre persone in casa</t>
  </si>
  <si>
    <t xml:space="preserve">queste attività di manutenzione causavano molto rumore per cui ho dovuto necessariamente spostarmi, nel bel mezzo di alcuni meeting</t>
  </si>
  <si>
    <t xml:space="preserve">nella mia prima esperienza in cui era richiesta una presenza di tre volte a settimana, eh, in quei tre giorni ovviamente la mia sveglia suonava molto prima</t>
  </si>
  <si>
    <t xml:space="preserve">C10, C01</t>
  </si>
  <si>
    <t xml:space="preserve">Assenza di pendolarismo e tempo restituito, Struttura della giornata e routine</t>
  </si>
  <si>
    <t xml:space="preserve">No, è rimasta pressoché la stessa.</t>
  </si>
  <si>
    <t xml:space="preserve">nessuna situazione difficile che ho affrontato era causata dalla mia, diciamo, modalità di lavoro</t>
  </si>
  <si>
    <t xml:space="preserve">nella mia forma mentis e nel mio modo di concepire il lavoro, c'è questa modalità qui</t>
  </si>
  <si>
    <t xml:space="preserve">questa modalità sia molto flessibile, soprattutto per le donne, in vista anche di, diciamo di una costruzione di una famiglia, nel seguire anche i propri figli</t>
  </si>
  <si>
    <t xml:space="preserve">C09, C11</t>
  </si>
  <si>
    <t xml:space="preserve">Famiglia, convivenza e conciliazione, Flessibilità, autonomia e gestione del tempo</t>
  </si>
  <si>
    <t xml:space="preserve">Chiusura</t>
  </si>
  <si>
    <t xml:space="preserve">alle 9:00 ho iniziato a lavorare fino alle 13:00. Alle 13:00 si prepara il pranzo, si pranza, alle 13:45 si inizia di nuovo a lavorare fino alle 17:00 circa, alle 17:00 si va a prendere la piccola al nido e poi fino alle 18:00 si lavora.</t>
  </si>
  <si>
    <t xml:space="preserve">C01, C09</t>
  </si>
  <si>
    <t xml:space="preserve">Struttura della giornata e routine, Famiglia, convivenza e conciliazione</t>
  </si>
  <si>
    <t xml:space="preserve">o faccio merenda, spuntino, oppure faccio una lavatrice.</t>
  </si>
  <si>
    <t xml:space="preserve">è dovuto dal carico di lavoro che si accumula e quindi non riesci ad alzarti dalla sedia</t>
  </si>
  <si>
    <t xml:space="preserve">C03, C02</t>
  </si>
  <si>
    <t xml:space="preserve">Pause, pranzo e micro-interruzioni, Carico di lavoro variabile e imprevisti</t>
  </si>
  <si>
    <t xml:space="preserve">Normale.</t>
  </si>
  <si>
    <t xml:space="preserve">C03, C18</t>
  </si>
  <si>
    <t xml:space="preserve">Pause, pranzo e micro-interruzioni, Stress, preoccupazione e difficoltà a staccare</t>
  </si>
  <si>
    <t xml:space="preserve">avendo una picc... una bambina di 1 anno, ehm... magari sta male e quindi devi rimodulare di nuovo tutta la tua giornata</t>
  </si>
  <si>
    <t xml:space="preserve">C09, C02</t>
  </si>
  <si>
    <t xml:space="preserve">Famiglia, convivenza e conciliazione, Carico di lavoro variabile e imprevisti</t>
  </si>
  <si>
    <t xml:space="preserve">esigenze lavorative per... consegnare alcune cose per il lavoro, quindi bisognava completare alcune attività</t>
  </si>
  <si>
    <t xml:space="preserve">C05, C02</t>
  </si>
  <si>
    <t xml:space="preserve">Lavoro fuori orario e confini permeabili, Carico di lavoro variabile e imprevisti</t>
  </si>
  <si>
    <t xml:space="preserve">di solito lo faccio prima che si sveglia mia figlia</t>
  </si>
  <si>
    <t xml:space="preserve">C05, C09</t>
  </si>
  <si>
    <t xml:space="preserve">Lavoro fuori orario e confini permeabili, Famiglia, convivenza e conciliazione</t>
  </si>
  <si>
    <t xml:space="preserve">semplicemente chiudo il computer e chiudo il telefono aziendale, e quindi in questo modo nessuno potrà contattarmi e disturbarmi</t>
  </si>
  <si>
    <t xml:space="preserve">dipende sempre dal... dal carico di lavoro, dalle consegne che ci sono... ma ehm solitamente cerco però di... separare le cose</t>
  </si>
  <si>
    <t xml:space="preserve">C05, C06</t>
  </si>
  <si>
    <t xml:space="preserve">Lavoro fuori orario e confini permeabili, Strategie e rituali di separazione digitale</t>
  </si>
  <si>
    <t xml:space="preserve">io prendo il computer quando non dovrei prenderlo, e quindi leggo dei messaggi, oppure vedo delle chiamate, e inizio a preoccuparmi</t>
  </si>
  <si>
    <t xml:space="preserve">io e mio marito lavoriamo insieme nella stessa casa</t>
  </si>
  <si>
    <t xml:space="preserve">La reputo una delle pausa, non influisce molto.</t>
  </si>
  <si>
    <t xml:space="preserve">C08, C03</t>
  </si>
  <si>
    <t xml:space="preserve">Interruzioni e presenza di altre persone in casa, Pause, pranzo e micro-interruzioni</t>
  </si>
  <si>
    <t xml:space="preserve">lo apprezzo ehm se penso al traffico e... al tempo che impiego per andare in ufficio</t>
  </si>
  <si>
    <t xml:space="preserve">l'ufficio può essere un momento di... per conoscere nuove persone, per fare una, un po' di relationship, un po' di chiacchiere, e cosa che se sei a casa non lo fai</t>
  </si>
  <si>
    <t xml:space="preserve">Non ho amicizie create sul lavoro.</t>
  </si>
  <si>
    <t xml:space="preserve">C13, C14</t>
  </si>
  <si>
    <t xml:space="preserve">Amicizie e socialità extra-lavorativa, Relazioni con i colleghi</t>
  </si>
  <si>
    <t xml:space="preserve">Le uscite che faccio sono tutte per il tempo libero. O vado in palestra, oppure ehm faccio delle passeggiate con mia figlia, con mio marito, o commissioni per la casa</t>
  </si>
  <si>
    <t xml:space="preserve">C12, C09</t>
  </si>
  <si>
    <t xml:space="preserve">Uscire di casa, movimento e tempo libero, Famiglia, convivenza e conciliazione</t>
  </si>
  <si>
    <t xml:space="preserve">sono andata un giorno in ufficio, perché c'era un aperitivo post-lavoro e quindi mi sono fermata per fare un aperitivo con i colleghi</t>
  </si>
  <si>
    <t xml:space="preserve">Ma non è un legame d'amicizia, ma un legame... di conoscenza.</t>
  </si>
  <si>
    <t xml:space="preserve">magari c'è una persona con cui vai più d'accordo, più... che ti sta più simpatica, e quindi magari provi a organizzare un aperitivo dopo il lavoro, una colazione prima del lavoro ma niente di importante</t>
  </si>
  <si>
    <t xml:space="preserve">è una cosa che tu magari vedi una persona tutti i giorni, è una cosa che magari la vedi ogni tanto, quindi un po' il, la costruzione del rapporto è rallentata, sì</t>
  </si>
  <si>
    <t xml:space="preserve">Lavoro nella cameretta, ehm... Ho comprato con il tempo una scrivania, un monitor e una sedia.</t>
  </si>
  <si>
    <t xml:space="preserve">la sedia per stare piu comoda, e anche il monitor per vedere meglio</t>
  </si>
  <si>
    <t xml:space="preserve">C07, C23</t>
  </si>
  <si>
    <t xml:space="preserve">Spazio fisico di lavoro e setup, Salute fisica ed ergonomia</t>
  </si>
  <si>
    <t xml:space="preserve">quando uscivo tardi dall'ufficio, doveva prepa... dovevo preparare anche la cena, e quindi magari la cena era un po' più tardi, invece ora stando a casa riesco a cenare appena finisco di lavorare</t>
  </si>
  <si>
    <t xml:space="preserve">io organizzo meglio le faccende domestiche. Poi il resto... il lavoro è sempre uguale.</t>
  </si>
  <si>
    <t xml:space="preserve">C11, C01</t>
  </si>
  <si>
    <t xml:space="preserve">Flessibilità, autonomia e gestione del tempo, Struttura della giornata e routine</t>
  </si>
  <si>
    <t xml:space="preserve">anziché alzarti e andare nel suo ufficio, devi cercare il momento in cui lui è libero per poterlo chiamare, ma niente di non risolvibile. Cioè, magari si allungano un po' i tempi.</t>
  </si>
  <si>
    <t xml:space="preserve">quando chiudi, cioè quindi finisce la giornata lavorativa, sei già a casa e non devi invece fare un'ora, due ore di macchina o il traffico</t>
  </si>
  <si>
    <t xml:space="preserve">puoi organizzare e incastrare i tuoi... i tuoi impegni personali con il lavoro, ad esempio deve venire l'elettricista a casa, non devi prendere una giornata di permesso, ma l'elettricista viene a casa e tu continui a lavorare</t>
  </si>
  <si>
    <t xml:space="preserve">C11, C08</t>
  </si>
  <si>
    <t xml:space="preserve">Flessibilità, autonomia e gestione del tempo, Interruzioni e presenza di altre persone in casa</t>
  </si>
  <si>
    <t xml:space="preserve">io mi sveglio presto, alle 5:00 del mattino. E perché inizio a lavorare alle 6:00.</t>
  </si>
  <si>
    <t xml:space="preserve">noi abbiamo degli orari fissi e non posso lavorare più di quello che mi è detto di lavorare, quindi perché proprio il computer mi si spegne e mi si riaccende</t>
  </si>
  <si>
    <t xml:space="preserve">C01, C05, C06</t>
  </si>
  <si>
    <t xml:space="preserve">Struttura della giornata e routine, Lavoro fuori orario e confini permeabili, Strategie e rituali di separazione digitale</t>
  </si>
  <si>
    <t xml:space="preserve">Cucino durante l'ora di pranzo di solito, nel senso che cucino per la sera, per il giorno dopo.</t>
  </si>
  <si>
    <t xml:space="preserve">Non più di qualche minuto. Cioè, se devo andare in bagno così o se mi arriva un pacco, ma cioè si tratta di 3 minuti, 5 minuti.</t>
  </si>
  <si>
    <t xml:space="preserve">mi piace perché ti obbliga ad essere organizzato e ti mantiene organizzato, sempre attivo con quello che devi fare</t>
  </si>
  <si>
    <t xml:space="preserve">Routine fissa</t>
  </si>
  <si>
    <t xml:space="preserve">mi aiuta a mantenere organizzato, a mantenere organizzato anche il resto al di fuori, no? Della, del, del lavoro, ecco.</t>
  </si>
  <si>
    <t xml:space="preserve">a volte mi capita di, di rispondere a messaggi su WhatsApp così, a qualche cliente che mi, che mi scrive</t>
  </si>
  <si>
    <t xml:space="preserve">Solitamente dico, no, guarda che ho finito di lavorare, però, te lo faccio domani.</t>
  </si>
  <si>
    <t xml:space="preserve">il modo principale è grazie al fatto che mi si blocca il computer. E quindi anche volendo non potrei lavorare.</t>
  </si>
  <si>
    <t xml:space="preserve">Ma non ci entro mai se non è l'ora di lavoro perché quella roba, cioè quella zona lì della casa è dove io lavoro.</t>
  </si>
  <si>
    <t xml:space="preserve">C07, C06</t>
  </si>
  <si>
    <t xml:space="preserve">Spazio fisico di lavoro e setup, Strategie e rituali di separazione digitale</t>
  </si>
  <si>
    <t xml:space="preserve">se io lavorassi nella mia camera da letto, dove poi io passo magari anche altri momenti, mi, psicologicamente, mi darebbe più fastidio</t>
  </si>
  <si>
    <t xml:space="preserve">C07, C18</t>
  </si>
  <si>
    <t xml:space="preserve">Spazio fisico di lavoro e setup, Stress, preoccupazione e difficoltà a staccare</t>
  </si>
  <si>
    <t xml:space="preserve">ti consiglio di non mantenere il computer lì, in camera, ma tenerlo da un'altra parte, perché anche solo vedendolo e vedere gli appunti, ti, ti dà fastidio, ti ricorda il lavoro, non riesci, psicologicamente a staccare</t>
  </si>
  <si>
    <t xml:space="preserve">C07, C09, C18</t>
  </si>
  <si>
    <t xml:space="preserve">Spazio fisico di lavoro e setup, Famiglia, convivenza e conciliazione, Stress, preoccupazione e difficoltà a staccare</t>
  </si>
  <si>
    <t xml:space="preserve">Origine della strategia</t>
  </si>
  <si>
    <t xml:space="preserve">dirti che io stacco completamente e mi dimentico del lavoro è impossibile</t>
  </si>
  <si>
    <t xml:space="preserve">Efficacia della strategia</t>
  </si>
  <si>
    <t xml:space="preserve">Anche stanotte ero, ero stressato per varie ragioni e non sono riuscito a dormire bene.</t>
  </si>
  <si>
    <t xml:space="preserve">mia moglie lavora, questa volta non più da remoto ma deve andare sempre in sede, e io sono da solo in casa</t>
  </si>
  <si>
    <t xml:space="preserve">mi è successo almeno 5 volte in questi 8 mesi, almeno. La maggior parte delle volte sono state... sono state, tipo, della manutenzione che doveva venire a me, a risolvere cose.</t>
  </si>
  <si>
    <t xml:space="preserve">ho aspettato di mettere giù la chiamata, e poi, semplicemente aperto, molto easy.</t>
  </si>
  <si>
    <t xml:space="preserve">ovvi impari più lentamente. Ok? Cioè, avere il collega di fianco, e che tu gli puoi chiedere qualsiasi cosa in qualsiasi momento, è molto meglio.</t>
  </si>
  <si>
    <t xml:space="preserve">Spesso la gente al lavoro, parla con gli altri, soltanto per lamentarsi o per perdere tempo, o, cioè per lamentarsi, o per pettegolezzi, gossip, cose stupide, che non, non interessano, e lavorare da remoto lo riduce di gran lunga</t>
  </si>
  <si>
    <t xml:space="preserve">C22, C14</t>
  </si>
  <si>
    <t xml:space="preserve">Meno distrazioni e produttività, Relazioni con i colleghi</t>
  </si>
  <si>
    <t xml:space="preserve">noi ci obblighiamo ad uscire con i nostri amici, venerdì, sabato e domenica</t>
  </si>
  <si>
    <t xml:space="preserve">C13, C12</t>
  </si>
  <si>
    <t xml:space="preserve">Amicizie e socialità extra-lavorativa, Uscire di casa, movimento e tempo libero</t>
  </si>
  <si>
    <t xml:space="preserve">per fortuna ho una buona rete di amici anche se sono fuori dall'Italia</t>
  </si>
  <si>
    <t xml:space="preserve">solitamente anche soltanto per andare o in palestra o a muay thai esco di casa</t>
  </si>
  <si>
    <t xml:space="preserve">durante la settimana raramente esco per, tipo uscire, andare al cinema, non so, fare cose così, no? O mangiare fuori, eccetera, perché, sia io che mia moglie ci svegliamo prestissimo, quindi non, ti uccide, ti uccide la routine se, se torni tardi</t>
  </si>
  <si>
    <t xml:space="preserve">C12, C01</t>
  </si>
  <si>
    <t xml:space="preserve">Uscire di casa, movimento e tempo libero, Struttura della giornata e routine</t>
  </si>
  <si>
    <t xml:space="preserve">È raro, però, eh... E... può succedere, sì. È una merda.</t>
  </si>
  <si>
    <t xml:space="preserve">C12, C17</t>
  </si>
  <si>
    <t xml:space="preserve">Uscire di casa, movimento e tempo libero, Isolamento e rischio di alienazione</t>
  </si>
  <si>
    <t xml:space="preserve">direi soltanto con una persona. Cioè, nel mio team, siamo un po', forse, in 8, non lo so.</t>
  </si>
  <si>
    <t xml:space="preserve">la metà sono in Europa, e io sono negli Stati Uniti, quindi anche volendo</t>
  </si>
  <si>
    <t xml:space="preserve">il fatto di essere da remoto, in questo caso è abbastanza benefico, perché comunque mi capita di perdere tempo un po' con lei, ma è comunque abbastanza controllato e circoscritto</t>
  </si>
  <si>
    <t xml:space="preserve">C14, C22</t>
  </si>
  <si>
    <t xml:space="preserve">Relazioni con i colleghi, Meno distrazioni e produttività</t>
  </si>
  <si>
    <t xml:space="preserve">ovviamente ci saremo potuti conoscere ancora meglio, se ci fossimo visti di persona</t>
  </si>
  <si>
    <t xml:space="preserve">Devo avere tutto ordinato, perché sennò non, faccio fatica a concentrarmi.</t>
  </si>
  <si>
    <t xml:space="preserve">il fatto che io posso, più o meno, gestirmelo come voglio. Cioè, se io domani voglio, ma, cioè... ad esempio, se io ho caldo, ho freddo, decido io la temperatura</t>
  </si>
  <si>
    <t xml:space="preserve">C07, C11</t>
  </si>
  <si>
    <t xml:space="preserve">Spazio fisico di lavoro e setup, Flessibilità, autonomia e gestione del tempo</t>
  </si>
  <si>
    <t xml:space="preserve">se voglio stare senza scarpe, per dire, no? Posso farlo. In ufficio non puoi</t>
  </si>
  <si>
    <t xml:space="preserve">C11, C07</t>
  </si>
  <si>
    <t xml:space="preserve">Flessibilità, autonomia e gestione del tempo, Spazio fisico di lavoro e setup</t>
  </si>
  <si>
    <t xml:space="preserve">mi sento a volte obbligato a, cavarmela da solo, con molte cose</t>
  </si>
  <si>
    <t xml:space="preserve">C16, C04</t>
  </si>
  <si>
    <t xml:space="preserve">Apprendimento, onboarding e supporto a distanza, Comunicazione e coordinamento con il team</t>
  </si>
  <si>
    <t xml:space="preserve">se tutti ad ogni cazzata gli scriviamo, il mio capo passa la giornata a rispondere ai nostri messaggi su Teams</t>
  </si>
  <si>
    <t xml:space="preserve">non esiste la forma giusta per lavorare</t>
  </si>
  <si>
    <t xml:space="preserve">Io non ero infelice ad andare in ufficio.</t>
  </si>
  <si>
    <t xml:space="preserve">mi farebbe piacere, 2 volte a settimana, 1 volta a settimana, andare in ufficio</t>
  </si>
  <si>
    <t xml:space="preserve">l'azienda ha, tutti da remoto. Quindi non potevo scegliere.</t>
  </si>
  <si>
    <t xml:space="preserve">ci penso, e per il massimo ti rispondo per email?</t>
  </si>
  <si>
    <t xml:space="preserve">avendo dei genitori anziani, che diventano sempre più anziani, sono ancora autonomi, ma sono figlio unico e prima o poi dovrò occuparmene</t>
  </si>
  <si>
    <t xml:space="preserve">C24, C09</t>
  </si>
  <si>
    <t xml:space="preserve">Mobilità geografica e radicamento territoriale, Famiglia, convivenza e conciliazione</t>
  </si>
  <si>
    <t xml:space="preserve">Trasferimento in montagna</t>
  </si>
  <si>
    <t xml:space="preserve">sono stato, diciamo, globetrotter per un po' di anni dopo l'università e, eh, mi sono stancato di girare</t>
  </si>
  <si>
    <t xml:space="preserve">non essendo sicuro nel futuro di poter mantenere un telelavoro</t>
  </si>
  <si>
    <t xml:space="preserve">C21, C24</t>
  </si>
  <si>
    <t xml:space="preserve">Tutele, normativa e infrastruttura organizzativa, Mobilità geografica e radicamento territoriale</t>
  </si>
  <si>
    <t xml:space="preserve">avuto l'ok per il telelavoro, proprio contrattualmente telelavoro</t>
  </si>
  <si>
    <t xml:space="preserve">C26, C21</t>
  </si>
  <si>
    <t xml:space="preserve">Scelta o imposizione del lavoro da remoto, Tutele, normativa e infrastruttura organizzativa</t>
  </si>
  <si>
    <t xml:space="preserve">È cambiato molto il non avere il vincolo geografico che mi permette di spostarmi.</t>
  </si>
  <si>
    <t xml:space="preserve">C24, C11</t>
  </si>
  <si>
    <t xml:space="preserve">Mobilità geografica e radicamento territoriale, Flessibilità, autonomia e gestione del tempo</t>
  </si>
  <si>
    <t xml:space="preserve">Impatto iniziale</t>
  </si>
  <si>
    <t xml:space="preserve">non avere l'itinerario, andare in ufficio in pantofole, beh quello è un gran boccio</t>
  </si>
  <si>
    <t xml:space="preserve">semplicemente non avevo più altro da fare di fattibile nella giornata</t>
  </si>
  <si>
    <t xml:space="preserve">Uno dei vantaggi del remoto è che quando si perde tempo posso dedicarmi ad altro, devo comunque restare disponibile, devo comunque restare contattabile</t>
  </si>
  <si>
    <t xml:space="preserve">diciamo che la giornata media produttiva reale difficilmente passa le quattro ore</t>
  </si>
  <si>
    <t xml:space="preserve">sono stato all'opera fin quasi alle quattro del mattino cominciando intorno alle 16 del giorno prima</t>
  </si>
  <si>
    <t xml:space="preserve">C02, C05</t>
  </si>
  <si>
    <t xml:space="preserve">Carico di lavoro variabile e imprevisti, Lavoro fuori orario e confini permeabili</t>
  </si>
  <si>
    <t xml:space="preserve">diciamo sono pagato per ciò che faccio, non per l'impegno temporale</t>
  </si>
  <si>
    <t xml:space="preserve">restare connessi alla fine lo siamo comunque perché significa essenzialmente avere uno smartphone in tasca, eeeh, avere un computer a portata di mano</t>
  </si>
  <si>
    <t xml:space="preserve">in termini di separazione vita-lavoro io preferisco avere meno separazione e, eeeh, maggior libertà organizzativa</t>
  </si>
  <si>
    <t xml:space="preserve">può essere che ci sia una volta che gradirei avere del tempo libero e non lo ho, però, mmm, fa parte del pacchetto</t>
  </si>
  <si>
    <t xml:space="preserve">Se rispondo con mezzo secondo di ritardo, qualcuno penserà, eh, che sto facendo i fatti miei</t>
  </si>
  <si>
    <t xml:space="preserve">Presenza online</t>
  </si>
  <si>
    <t xml:space="preserve">tendevo a fare di più perché mi sembrava di dover, diciamo, dimostrare che, eeeh, ero degno di, di stare nella casa</t>
  </si>
  <si>
    <t xml:space="preserve">Più fare la reportistica extra o mandare qualche mail che non sarebbe strettamente necessaria</t>
  </si>
  <si>
    <t xml:space="preserve">ho cominciato a mettere uno standing desk, ho cominciato a mettere un tapis roulant, ho cominciato ad alternare tot minuti seduto, tot minuti in piedi</t>
  </si>
  <si>
    <t xml:space="preserve">Movimento e ambiente</t>
  </si>
  <si>
    <t xml:space="preserve">apro la finestra e ho la pineta</t>
  </si>
  <si>
    <t xml:space="preserve">C24, C07</t>
  </si>
  <si>
    <t xml:space="preserve">Mobilità geografica e radicamento territoriale, Spazio fisico di lavoro e setup</t>
  </si>
  <si>
    <t xml:space="preserve">Non a livelli da essere proprio sedentario sedentario, però sì, l'ha ridotta significativamente.</t>
  </si>
  <si>
    <t xml:space="preserve">C12, C24</t>
  </si>
  <si>
    <t xml:space="preserve">Uscire di casa, movimento e tempo libero, Mobilità geografica e radicamento territoriale</t>
  </si>
  <si>
    <t xml:space="preserve">sono più sedentario quando fa freddo, fa troppo caldo o c'è brutto tempo</t>
  </si>
  <si>
    <t xml:space="preserve">in città avevo proprio voglia di prendere la macchina e scappare</t>
  </si>
  <si>
    <t xml:space="preserve">quando si mangia insieme qui ciascuno porta qualcosa e s-si mette tutto insieme</t>
  </si>
  <si>
    <t xml:space="preserve">C24, C13</t>
  </si>
  <si>
    <t xml:space="preserve">Mobilità geografica e radicamento territoriale, Amicizie e socialità extra-lavorativa</t>
  </si>
  <si>
    <t xml:space="preserve">Comunità locale</t>
  </si>
  <si>
    <t xml:space="preserve">è arrivato un vicino a presentarsi</t>
  </si>
  <si>
    <t xml:space="preserve">in quel momento sono stato cooptato nel comitato delle feste locale, quindi è stato immediato</t>
  </si>
  <si>
    <t xml:space="preserve">non ero lo straniero, l'invasore o cose del genere, ero uno del posto all'istante</t>
  </si>
  <si>
    <t xml:space="preserve">principalmente perché i colleghi non li scelgo</t>
  </si>
  <si>
    <t xml:space="preserve">Non sono obbligato alla vita sociale con l'ufficio.</t>
  </si>
  <si>
    <t xml:space="preserve">C14, C11</t>
  </si>
  <si>
    <t xml:space="preserve">Relazioni con i colleghi, Flessibilità, autonomia e gestione del tempo</t>
  </si>
  <si>
    <t xml:space="preserve">ciascuno va a vedere dove vive l'altro, anche in che ambiente vive</t>
  </si>
  <si>
    <t xml:space="preserve">la separazione aiuta tantissimo</t>
  </si>
  <si>
    <t xml:space="preserve">alcuni che non sanno lavorare da remoto, nonostante tutto, e quindi chiamano, chiamano, chiamano continuamente</t>
  </si>
  <si>
    <t xml:space="preserve">Mi hanno dato le prime credenziali, faccio il mio primo login e poi non so cosa fare</t>
  </si>
  <si>
    <t xml:space="preserve">Onboarding di colleghi più giovani</t>
  </si>
  <si>
    <t xml:space="preserve">Aiuta dedicare qualche ora di condivisione dello schermo mostrando le cose e restando disponibili in chat, audio eccetera</t>
  </si>
  <si>
    <t xml:space="preserve">il rapporto umano è più difficile</t>
  </si>
  <si>
    <t xml:space="preserve">C16, C14</t>
  </si>
  <si>
    <t xml:space="preserve">Apprendimento, onboarding e supporto a distanza, Relazioni con i colleghi</t>
  </si>
  <si>
    <t xml:space="preserve">Chi è dall'altra parte alle volte non sa come inserirsi, ha paura di disturbare, non vuole scriverti il dubbio appena gli viene</t>
  </si>
  <si>
    <t xml:space="preserve">chi c'è già ha la reticenza a documentare le cose, è visto come tempo perso</t>
  </si>
  <si>
    <t xml:space="preserve">C16, C21</t>
  </si>
  <si>
    <t xml:space="preserve">Apprendimento, onboarding e supporto a distanza, Tutele, normativa e infrastruttura organizzativa</t>
  </si>
  <si>
    <t xml:space="preserve">il grosso dei lavoratori mentalmente è ancora nel modello ufficio</t>
  </si>
  <si>
    <t xml:space="preserve">Si hanno ancora grossi problemi a comprendere l'asincronia, a comprendere come gestire il lavoro da fare asincrono.</t>
  </si>
  <si>
    <t xml:space="preserve">C25, C04</t>
  </si>
  <si>
    <t xml:space="preserve">Cultura organizzativa e valori generazionali, Comunicazione e coordinamento con il team</t>
  </si>
  <si>
    <t xml:space="preserve">neolaureati in particolare, arrivano che non hanno la benché minima conoscenza del lavorare per task</t>
  </si>
  <si>
    <t xml:space="preserve">C25, C16</t>
  </si>
  <si>
    <t xml:space="preserve">Cultura organizzativa e valori generazionali, Apprendimento, onboarding e supporto a distanza</t>
  </si>
  <si>
    <t xml:space="preserve">Penso che una difficoltà possa essere familiare.</t>
  </si>
  <si>
    <t xml:space="preserve">avere difficoltà magari a far capire ai bambini questo è l'ufficio, mmm, non è per voi, anche se io sono fisicamente lì, non ci sono</t>
  </si>
  <si>
    <t xml:space="preserve">C09, C08</t>
  </si>
  <si>
    <t xml:space="preserve">Famiglia, convivenza e conciliazione, Interruzioni e presenza di altre persone in casa</t>
  </si>
  <si>
    <t xml:space="preserve">Abbiamo una marea di strumenti, eeeh, separati in cui lavorare non è così banale, proprio perché sono dei pezzi di un mosaico messi lì, eeeh, che si incastrano male tra loro.</t>
  </si>
  <si>
    <t xml:space="preserve">benessere del lavoratore da remoto che perde tempo e si trova in situazioni magari frustranti che non avrebbero motivo di esserci se ci fosse un'infrastruttura IT fatta bene</t>
  </si>
  <si>
    <t xml:space="preserve">C21, C18</t>
  </si>
  <si>
    <t xml:space="preserve">Tutele, normativa e infrastruttura organizzativa, Stress, preoccupazione e difficoltà a staccare</t>
  </si>
  <si>
    <t xml:space="preserve">Ci sono due normative: una è il telelavoro e una è il cosiddetto smart working o lavoro con obiettivi</t>
  </si>
  <si>
    <t xml:space="preserve">Normativa e tutele</t>
  </si>
  <si>
    <t xml:space="preserve">tanti vivono in città e hanno paura ad andarsene dalla città proprio per il discorso di eventuali futuri lavori o richiami in ufficio</t>
  </si>
  <si>
    <t xml:space="preserve">Tantissimi concretamente stanno in appartamento, non hanno spazio.</t>
  </si>
  <si>
    <t xml:space="preserve">C07, C21</t>
  </si>
  <si>
    <t xml:space="preserve">Spazio fisico di lavoro e setup, Tutele, normativa e infrastruttura organizzativa</t>
  </si>
  <si>
    <t xml:space="preserve">Ci sono anche parecchie iniziative per arrivare a imporre la libertà di scegliere il lavoro remoto.</t>
  </si>
  <si>
    <t xml:space="preserve">in alcune aziende, eh, ci ritroviamo con imprenditori che devono lavorare con quattro generazioni differenti</t>
  </si>
  <si>
    <t xml:space="preserve">Contesto generale</t>
  </si>
  <si>
    <t xml:space="preserve">Eh i ragazzi di oggi mettono l'onestà, lealtà e il rispetto, prima ogni tanto anche del salario.</t>
  </si>
  <si>
    <t xml:space="preserve">Siete cresciuti con il benessere mentale che non è più uno stigma</t>
  </si>
  <si>
    <t xml:space="preserve">quando uno entra in azienda si aspetta un'attenzione all'aspetto delle risorse umane molto forte che non sempre riscontra</t>
  </si>
  <si>
    <t xml:space="preserve">la flessibilità è un altro aspetto che i giovani ricercano molto, e quindi lo smart working, che ha dei pro e dei contro</t>
  </si>
  <si>
    <t xml:space="preserve">un equilibrio vita lavoro, che oggi più che mai è molto ricercato</t>
  </si>
  <si>
    <t xml:space="preserve">la parte più emotiva e di coinvolgimento c'è alla macchinetta del caffè</t>
  </si>
  <si>
    <t xml:space="preserve">partecipare fisicamente, no, ha un aspetto e emotivo e di coinvolgimento molto diverso</t>
  </si>
  <si>
    <t xml:space="preserve">C20, C15</t>
  </si>
  <si>
    <t xml:space="preserve">Ibrido, presenza fisica e ufficio, Incontri di persona e fiducia</t>
  </si>
  <si>
    <t xml:space="preserve">ho pazienti under trentacinque che lavorano il venerdì da casa</t>
  </si>
  <si>
    <t xml:space="preserve">Esperienza con under 35</t>
  </si>
  <si>
    <t xml:space="preserve">il lavoro si estende fino a che tu lo fai estendere</t>
  </si>
  <si>
    <t xml:space="preserve">Flessibilità e sovrapposizione</t>
  </si>
  <si>
    <t xml:space="preserve">lo smart working funziona bene in termini di flessibilità quando mi so ritagliare gli spazi idonei alla vita professionale e alla vita lavorativa</t>
  </si>
  <si>
    <t xml:space="preserve">diventa poi rischio burnout perché, c'è talmente tanta ssovrapposizione per cui alla fine io non ho più il tempo di staccarmi e, divento quindi anche inefficiente da un punto di vista lavorativo</t>
  </si>
  <si>
    <t xml:space="preserve">c'è il 58-59% degli under 35 che dichiarano un forte stress lavoro correlato</t>
  </si>
  <si>
    <t xml:space="preserve">Segnali di disagio</t>
  </si>
  <si>
    <t xml:space="preserve">sempre il cellulare, sempre le notifiche attive per forza, ti porta a essere sempre connesso</t>
  </si>
  <si>
    <t xml:space="preserve">C18, C06</t>
  </si>
  <si>
    <t xml:space="preserve">Stress, preoccupazione e difficoltà a staccare, Strategie e rituali di separazione digitale</t>
  </si>
  <si>
    <t xml:space="preserve">Iperconnessione</t>
  </si>
  <si>
    <t xml:space="preserve">sta anche all'impresa, dare dei termini di tempo, cioè dopo le 18 è concesso non rispondere più alle mail</t>
  </si>
  <si>
    <t xml:space="preserve">C25, C06</t>
  </si>
  <si>
    <t xml:space="preserve">Cultura organizzativa e valori generazionali, Strategie e rituali di separazione digitale</t>
  </si>
  <si>
    <t xml:space="preserve">Lo spazio di lavoro da un punto di vista psicologico è fondamentale, per il benessere mentale e dunque per l'efficienza e il benessere lavorativo</t>
  </si>
  <si>
    <t xml:space="preserve">Spazio fisico</t>
  </si>
  <si>
    <t xml:space="preserve">uno spazio di lavoro luminoso, che ti permetta una postura corretta, non avere troppo cibo vicino</t>
  </si>
  <si>
    <t xml:space="preserve">completamente da remoto, come dicevamo prima, rischia un po' un isolamento</t>
  </si>
  <si>
    <t xml:space="preserve">Interazioni sociali</t>
  </si>
  <si>
    <t xml:space="preserve">è una comunicazione che è molto veloce, molto fredda, molto superficiale</t>
  </si>
  <si>
    <t xml:space="preserve">C04, C17</t>
  </si>
  <si>
    <t xml:space="preserve">Comunicazione e coordinamento con il team, Isolamento e rischio di alienazione</t>
  </si>
  <si>
    <t xml:space="preserve">Questo poi mi porta a difficoltà relazionali poi fuori dall'ambiente di lavoro</t>
  </si>
  <si>
    <t xml:space="preserve">l'isolamento secondo me è un aspetto, il ridurre ulteriormente l'affezione, eh, al lavoro</t>
  </si>
  <si>
    <t xml:space="preserve">C17, C25</t>
  </si>
  <si>
    <t xml:space="preserve">Isolamento e rischio di alienazione, Cultura organizzativa e valori generazionali</t>
  </si>
  <si>
    <t xml:space="preserve">Aspetti sottovalutati</t>
  </si>
  <si>
    <t xml:space="preserve">è difficile che tu da remoto riesca a entrarci veramente</t>
  </si>
  <si>
    <t xml:space="preserve">C14, C25</t>
  </si>
  <si>
    <t xml:space="preserve">Relazioni con i colleghi, Cultura organizzativa e valori generazionali</t>
  </si>
  <si>
    <t xml:space="preserve">i momenti di contatto sono molto inferiori per forza di cose</t>
  </si>
  <si>
    <t xml:space="preserve">Per me sono le soluzioni ibride, cioè è giustissima la flessibilità, ma una flessibilità che secondo me deve conciliare, il lavoro in smart working e il lavoro in presenza.</t>
  </si>
  <si>
    <t xml:space="preserve">C20, C11</t>
  </si>
  <si>
    <t xml:space="preserve">Ibrido, presenza fisica e ufficio, Flessibilità, autonomia e gestione del tempo</t>
  </si>
  <si>
    <t xml:space="preserve">Soluzioni</t>
  </si>
  <si>
    <t xml:space="preserve">pensare di fare solo lavoro in smart working, secondo me, dal mio punto di vista psicologico, non è performante al 100%</t>
  </si>
  <si>
    <t xml:space="preserve">Ci devono essere momenti di incontro e di condivisione fisici anche.</t>
  </si>
  <si>
    <t xml:space="preserve">Tema</t>
  </si>
  <si>
    <t xml:space="preserve">Descrizione (2–3 frasi)</t>
  </si>
  <si>
    <t xml:space="preserve">Codici inclusi</t>
  </si>
  <si>
    <t xml:space="preserve">N. estratti (senza doppi conteggi)</t>
  </si>
  <si>
    <t xml:space="preserve">2 citazioni di esempio (testuali, tra virgolette)</t>
  </si>
  <si>
    <t xml:space="preserve">T1 – Ritmi della giornata: routine, carichi variabili e pause</t>
  </si>
  <si>
    <t xml:space="preserve">Il tema descrive come la giornata a distanza prenda forma: orari fissi imposti dall'azienda oppure ritmi «a ondate», legati a scadenze e richieste. Le pause sono spesso informali e si confondono con le faccende domestiche, e a volte saltano del tutto quando il carico si accumula, senza che questo venga percepito come un problema. Il ritmo dipende molto più dal tipo di lavoro che dal luogo in cui si svolge.</t>
  </si>
  <si>
    <t xml:space="preserve">C01, C02, C03</t>
  </si>
  <si>
    <t xml:space="preserve">«diciamo che la giornata media produttiva reale difficilmente passa le quattro ore» (I05)
«è dovuto dal carico di lavoro che si accumula e quindi non riesci ad alzarti dalla sedia» (I03)</t>
  </si>
  <si>
    <t xml:space="preserve">T2 – Confini tra lavoro e vita privata: orari, tecnologia e distacco mentale</t>
  </si>
  <si>
    <t xml:space="preserve">Il tema raccoglie i dispositivi con cui si separa il lavoro dalla vita privata: blocchi automatici del PC, telefono aziendale spento, nessun account di lavoro sul telefono personale. Accanto a questi emerge una tensione tra chi li costruisce attivamente e chi preferisce confini permeabili in cambio di libertà organizzativa. Lo stacco mentale resta però difficile per molti, e la tentazione di ricontrollare i messaggi nasce spesso dall'interno; l'esperta indica nell'iperconnessione e nell'assenza di limiti aziendali i fattori di rischio.</t>
  </si>
  <si>
    <t xml:space="preserve">C05, C06, C18, C19</t>
  </si>
  <si>
    <t xml:space="preserve">«il modo principale è grazie al fatto che mi si blocca il computer. E quindi anche volendo non potrei lavorare.» (I04)
«in termini di separazione vita-lavoro io preferisco avere meno separazione e, eeeh, maggior libertà organizzativa» (I05)</t>
  </si>
  <si>
    <t xml:space="preserve">T3 – La casa come ufficio: spazio, interruzioni e famiglia</t>
  </si>
  <si>
    <t xml:space="preserve">Il tema riguarda la convivenza tra lavoro e spazio domestico: la stanza o la postazione dedicata come primo confine fisico, il setup che si perfeziona nel tempo e la gestione di interruzioni da familiari, vicini e manutentori. La presenza di figli, partner o genitori richiede accordi e adattamenti continui, che i partecipanti descrivono in genere come gestibili. Lo spazio incide anche su concentrazione e salute, con attenzione crescente a ergonomia e ordine.</t>
  </si>
  <si>
    <t xml:space="preserve">C07, C08, C09, C23</t>
  </si>
  <si>
    <t xml:space="preserve">«ho cercato di ritagliarmi uno spazio in cui potessi essere diciamo tranquilla, non sempre frequentato dal resto della mia famiglia» (I02)
«avendo una picc... una bambina di 1 anno, ehm... magari sta male e quindi devi rimodulare di nuovo tutta la tua giornata» (I03)</t>
  </si>
  <si>
    <t xml:space="preserve">T4 – Tempo restituito, autonomia e vita fuori dal lavoro</t>
  </si>
  <si>
    <t xml:space="preserve">Il vantaggio più citato è la fine del pendolarismo: ore recuperate per cena, sport, hobby e impegni personali, e la possibilità di incastrare commissioni nella giornata. L'autonomia nel gestire il tempo, spesso accompagnata da una valutazione per risultati, è vissuta come un privilegio. Il movimento fuori casa e le uscite quotidiane diventano una scelta consapevole e non più un effetto collaterale dello spostamento verso l'ufficio.</t>
  </si>
  <si>
    <t xml:space="preserve">C10, C11, C12</t>
  </si>
  <si>
    <t xml:space="preserve">«quando chiudi, cioè quindi finisce la giornata lavorativa, sei già a casa e non devi invece fare un'ora, due ore di macchina o il traffico» (I03)
«riuscire a incastrare l'hobby con il lavoro» (I01)</t>
  </si>
  <si>
    <t xml:space="preserve">T5 – Socialità scelta e radicamento territoriale</t>
  </si>
  <si>
    <t xml:space="preserve">Il tema mostra uno spostamento della socialità verso amicizie scelte per passioni e verso la comunità del luogo in cui si vive, mentre i legami con i colleghi passano in secondo piano. Costruire una cerchia richiede tempo, pazienza e iniziativa, soprattutto in una città nuova. La libertà geografica permette di avvicinarsi ai genitori o di inserirsi in comunità piccole, con effetti positivi su benessere e senso di appartenenza.</t>
  </si>
  <si>
    <t xml:space="preserve">C13, C24</t>
  </si>
  <si>
    <t xml:space="preserve">«in quel momento sono stato cooptato nel comitato delle feste locale, quindi è stato immediato» (I05)
«qui mi scelgo le relazioni sociali» (I01)</t>
  </si>
  <si>
    <t xml:space="preserve">T6 – Colleghi, fiducia e rischio di isolamento</t>
  </si>
  <si>
    <t xml:space="preserve">Il tema descrive l'altra faccia del remoto: rapporti con i colleghi che restano di conoscenza, più lenti da costruire e raramente oltre il lavoro, con effetti ambivalenti (meno pettegolezzi, ma anche meno fiducia). Gli incontri di persona, come trasferte o aperitivi, emergono come momenti che cambiano la qualità del legame. Il rischio di isolamento è riconosciuto sia dagli utenti sia dall'esperta, che indica nei modelli ibridi una via di mitigazione.</t>
  </si>
  <si>
    <t xml:space="preserve">C14, C15, C17, C20, C22</t>
  </si>
  <si>
    <t xml:space="preserve">«da quando ci siamo conosciuti di persona il nostro rapporto è diventato molto più confidenziale» (I02)
«Ci devono essere momenti di incontro e di condivisione fisici anche.» (I06)</t>
  </si>
  <si>
    <t xml:space="preserve">T7 – Comunicare, imparare e collaborare a distanza</t>
  </si>
  <si>
    <t xml:space="preserve">Il tema riguarda ciò che si perde quando manca la prossimità: la domanda rapida al collega, il corridoio, l'apprendimento per osservazione. Contattare le persone richiede più tempo, più chiarezza e talvolta escalation, e chi arriva in azienda fatica a chiedere aiuto per timore di disturbare. Per lo più i partecipanti le gestiscono con organizzazione e pazienza, ma in alcuni casi richiedono escalation e perdite di tempo rilevanti.</t>
  </si>
  <si>
    <t xml:space="preserve">C04, C16</t>
  </si>
  <si>
    <t xml:space="preserve">«ovvi impari più lentamente. Ok? Cioè, avere il collega di fianco, e che tu gli puoi chiedere qualsiasi cosa in qualsiasi momento, è molto meglio.» (I04)
«Chi è dall'altra parte alle volte non sa come inserirsi, ha paura di disturbare, non vuole scriverti il dubbio appena gli viene» (I05)</t>
  </si>
  <si>
    <t xml:space="preserve">T8 – Tutele, cultura e infrastruttura organizzativa</t>
  </si>
  <si>
    <t xml:space="preserve">Il tema raccoglie le condizioni organizzative che rendono sostenibile il remoto: strumenti IT integrati, documentazione, garanzie normative e contrattuali contro eventuali richiami in sede. Compare la distinzione tra remoto scelto e remoto ricevuto dall'azienda, e per alcuni è semplicemente la normalità. L'esperta e l'utente estremo sottolineano che molto dipende dalla cultura aziendale e dal ruolo dell'impresa nel fissare limiti.</t>
  </si>
  <si>
    <t xml:space="preserve">C21, C25, C26</t>
  </si>
  <si>
    <t xml:space="preserve">«Abbiamo una marea di strumenti, eeeh, separati in cui lavorare non è così banale, proprio perché sono dei pezzi di un mosaico messi lì, eeeh, che si incastrano male tra loro.» (I05)
«sta anche all'impresa, dare dei termini di tempo, cioè dopo le 18 è concesso non rispondere più alle mail» (I06)</t>
  </si>
  <si>
    <t xml:space="preserve">Totale estratti</t>
  </si>
  <si>
    <t xml:space="preserve">N. interviste</t>
  </si>
  <si>
    <t xml:space="preserve">T1</t>
  </si>
  <si>
    <t xml:space="preserve">T2</t>
  </si>
  <si>
    <t xml:space="preserve">T3</t>
  </si>
  <si>
    <t xml:space="preserve">T4</t>
  </si>
  <si>
    <t xml:space="preserve">T5</t>
  </si>
  <si>
    <t xml:space="preserve">T6</t>
  </si>
  <si>
    <t xml:space="preserve">T7</t>
  </si>
  <si>
    <t xml:space="preserve">T8</t>
  </si>
  <si>
    <t xml:space="preserve">Estratti per codice e intervista (un estratto con più codici compare in ciascuno dei suoi codici)</t>
  </si>
  <si>
    <t xml:space="preserve">Totale segmenti</t>
  </si>
  <si>
    <t xml:space="preserve">Voce</t>
  </si>
  <si>
    <t xml:space="preserve">Nota</t>
  </si>
  <si>
    <t xml:space="preserve">Data set</t>
  </si>
  <si>
    <t xml:space="preserve">6 interviste semi-strutturate: 4 immediate user (I01–I04), 1 extreme user (I05, oltre i 35 anni, in telelavoro contrattuale da circa 11 anni) e 1 esperta (I06, psicologa). I06 non lavora da remoto: è un punto di vista professionale esterno, non un'esperienza vissuta.</t>
  </si>
  <si>
    <t xml:space="preserve">Approccio</t>
  </si>
  <si>
    <t xml:space="preserve">Analisi tematica induttiva (data-driven), a livello prevalentemente semantico con alcune letture latenti (es. normalizzazione della mancata pausa, ansia di visibilità). Il codebook è stato costruito sugli estratti e non su uno schema preesistente.</t>
  </si>
  <si>
    <t xml:space="preserve">Estratti</t>
  </si>
  <si>
    <t xml:space="preserve">Ogni estratto è un passaggio testuale contiguo, copiato dalla trascrizione senza modifiche (solo rimossi gli a capo). Non tutto il testo è stato codificato: sono stati selezionati i passaggi rilevanti per la domanda di ricerca. Un estratto può avere più codici.</t>
  </si>
  <si>
    <t xml:space="preserve">Conteggi</t>
  </si>
  <si>
    <t xml:space="preserve">Le colonne «N. segmenti», «N. estratti», «N. interviste» e le matrici sono formule che leggono il foglio Codifica: se si aggiunge o si cambia un codice, si aggiornano. Se si aggiungono righe in fondo a Codifica, vanno estesi gli intervalli $2:$213 nelle formule.</t>
  </si>
  <si>
    <t xml:space="preserve">Prevalenza e rilevanza</t>
  </si>
  <si>
    <t xml:space="preserve">Il numero di estratti dipende anche dalla lunghezza dell'intervista (I05 è la più lunga). Per giudicare un tema conviene guardare «N. interviste» oltre a «N. estratti»; un tema presente in poche interviste può comunque essere rilevante rispetto alla domanda di ricerca.</t>
  </si>
  <si>
    <t xml:space="preserve">Limiti</t>
  </si>
  <si>
    <t xml:space="preserve">Campione piccolo e auto-selezionato; età di I05 stimata dalla trascrizione; località di I04 e I01 dedotte dal testo. Le citazioni sono in italiano parlato e conservano esitazioni e imprecisioni del parlato.</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</si>
</sst>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Roboto"/>
      <family val="0"/>
      <charset val="1"/>
    </font>
    <font>
      <b val="true"/>
      <sz val="10"/>
      <color rgb="FF1D1B1F"/>
      <name val="Roboto"/>
      <family val="0"/>
      <charset val="1"/>
    </font>
    <font>
      <sz val="10"/>
      <color rgb="FF1D1B1F"/>
      <name val="Roboto"/>
      <family val="0"/>
      <charset val="1"/>
    </font>
  </fonts>
  <fills count="3">
    <fill>
      <patternFill patternType="none"/>
    </fill>
    <fill>
      <patternFill patternType="gray125"/>
    </fill>
    <fill>
      <patternFill patternType="solid">
        <fgColor rgb="FF68538E"/>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68538E"/>
          <bgColor rgb="FF000000"/>
        </patternFill>
      </fill>
    </dxf>
    <dxf>
      <fill>
        <patternFill patternType="solid">
          <bgColor rgb="FF000000"/>
        </patternFill>
      </fill>
    </dxf>
    <dxf>
      <fill>
        <patternFill patternType="solid">
          <fgColor rgb="FF1D1B1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8538E"/>
      <rgbColor rgb="FF969696"/>
      <rgbColor rgb="FF003366"/>
      <rgbColor rgb="FF339966"/>
      <rgbColor rgb="FF003300"/>
      <rgbColor rgb="FF333300"/>
      <rgbColor rgb="FF993300"/>
      <rgbColor rgb="FF993366"/>
      <rgbColor rgb="FF333399"/>
      <rgbColor rgb="FF1D1B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4" min="4" style="0" width="26"/>
    <col collapsed="false" customWidth="true" hidden="false" outlineLevel="0" max="5" min="5" style="0" width="16"/>
    <col collapsed="false" customWidth="true" hidden="false" outlineLevel="0" max="6" min="6" style="0" width="38"/>
    <col collapsed="false" customWidth="true" hidden="false" outlineLevel="0" max="7" min="7" style="0" width="14"/>
    <col collapsed="false" customWidth="true" hidden="false" outlineLevel="0" max="8" min="8" style="0" width="44"/>
    <col collapsed="false" customWidth="true" hidden="false" outlineLevel="0" max="9" min="9" style="0" width="28"/>
    <col collapsed="false" customWidth="true" hidden="false" outlineLevel="0" max="10" min="10" style="0" width="14"/>
  </cols>
  <sheetData>
    <row r="1" customFormat="false" ht="27" hidden="false" customHeight="true" outlineLevel="0" collapsed="false">
      <c r="A1" s="1" t="s">
        <v>0</v>
      </c>
      <c r="B1" s="1" t="s">
        <v>1</v>
      </c>
      <c r="C1" s="1" t="s">
        <v>2</v>
      </c>
      <c r="D1" s="1" t="s">
        <v>3</v>
      </c>
      <c r="E1" s="1" t="s">
        <v>4</v>
      </c>
      <c r="F1" s="1" t="s">
        <v>5</v>
      </c>
      <c r="G1" s="1" t="s">
        <v>6</v>
      </c>
      <c r="H1" s="1" t="s">
        <v>7</v>
      </c>
      <c r="I1" s="1" t="s">
        <v>8</v>
      </c>
      <c r="J1" s="1" t="s">
        <v>9</v>
      </c>
    </row>
    <row r="2" customFormat="false" ht="42" hidden="false" customHeight="true" outlineLevel="0" collapsed="false">
      <c r="A2" s="2" t="s">
        <v>10</v>
      </c>
      <c r="B2" s="3" t="s">
        <v>11</v>
      </c>
      <c r="C2" s="3" t="s">
        <v>12</v>
      </c>
      <c r="D2" s="3" t="s">
        <v>13</v>
      </c>
      <c r="E2" s="4" t="n">
        <v>33</v>
      </c>
      <c r="F2" s="3" t="s">
        <v>14</v>
      </c>
      <c r="G2" s="4" t="n">
        <v>4.5</v>
      </c>
      <c r="H2" s="3" t="s">
        <v>15</v>
      </c>
      <c r="I2" s="3" t="s">
        <v>16</v>
      </c>
      <c r="J2" s="4" t="n">
        <f aca="false">COUNTIF(Codifica!$A$2:$A$213,A2)</f>
        <v>41</v>
      </c>
    </row>
    <row r="3" customFormat="false" ht="42" hidden="false" customHeight="true" outlineLevel="0" collapsed="false">
      <c r="A3" s="2" t="s">
        <v>17</v>
      </c>
      <c r="B3" s="3" t="s">
        <v>18</v>
      </c>
      <c r="C3" s="3" t="s">
        <v>12</v>
      </c>
      <c r="D3" s="3" t="s">
        <v>19</v>
      </c>
      <c r="E3" s="4" t="n">
        <v>28</v>
      </c>
      <c r="F3" s="3" t="s">
        <v>20</v>
      </c>
      <c r="G3" s="4" t="n">
        <v>3.5</v>
      </c>
      <c r="H3" s="3" t="s">
        <v>21</v>
      </c>
      <c r="I3" s="3" t="s">
        <v>22</v>
      </c>
      <c r="J3" s="4" t="n">
        <f aca="false">COUNTIF(Codifica!$A$2:$A$213,A3)</f>
        <v>33</v>
      </c>
    </row>
    <row r="4" customFormat="false" ht="42" hidden="false" customHeight="true" outlineLevel="0" collapsed="false">
      <c r="A4" s="2" t="s">
        <v>23</v>
      </c>
      <c r="B4" s="3" t="s">
        <v>24</v>
      </c>
      <c r="C4" s="3" t="s">
        <v>12</v>
      </c>
      <c r="D4" s="3" t="s">
        <v>25</v>
      </c>
      <c r="E4" s="4" t="n">
        <v>34</v>
      </c>
      <c r="F4" s="3" t="s">
        <v>26</v>
      </c>
      <c r="G4" s="4" t="n">
        <v>6</v>
      </c>
      <c r="H4" s="3" t="s">
        <v>27</v>
      </c>
      <c r="I4" s="3" t="s">
        <v>22</v>
      </c>
      <c r="J4" s="4" t="n">
        <f aca="false">COUNTIF(Codifica!$A$2:$A$213,A4)</f>
        <v>27</v>
      </c>
    </row>
    <row r="5" customFormat="false" ht="42" hidden="false" customHeight="true" outlineLevel="0" collapsed="false">
      <c r="A5" s="2" t="s">
        <v>28</v>
      </c>
      <c r="B5" s="3" t="s">
        <v>29</v>
      </c>
      <c r="C5" s="3" t="s">
        <v>12</v>
      </c>
      <c r="D5" s="3" t="s">
        <v>30</v>
      </c>
      <c r="E5" s="4" t="n">
        <v>29</v>
      </c>
      <c r="F5" s="3" t="s">
        <v>31</v>
      </c>
      <c r="G5" s="4" t="n">
        <v>0.67</v>
      </c>
      <c r="H5" s="3" t="s">
        <v>32</v>
      </c>
      <c r="I5" s="3" t="s">
        <v>33</v>
      </c>
      <c r="J5" s="4" t="n">
        <f aca="false">COUNTIF(Codifica!$A$2:$A$213,A5)</f>
        <v>38</v>
      </c>
    </row>
    <row r="6" customFormat="false" ht="42" hidden="false" customHeight="true" outlineLevel="0" collapsed="false">
      <c r="A6" s="2" t="s">
        <v>34</v>
      </c>
      <c r="B6" s="3" t="s">
        <v>35</v>
      </c>
      <c r="C6" s="3" t="s">
        <v>36</v>
      </c>
      <c r="D6" s="3" t="s">
        <v>37</v>
      </c>
      <c r="E6" s="4" t="s">
        <v>38</v>
      </c>
      <c r="F6" s="3" t="s">
        <v>39</v>
      </c>
      <c r="G6" s="4" t="n">
        <v>11</v>
      </c>
      <c r="H6" s="3" t="s">
        <v>40</v>
      </c>
      <c r="I6" s="3" t="s">
        <v>41</v>
      </c>
      <c r="J6" s="4" t="n">
        <f aca="false">COUNTIF(Codifica!$A$2:$A$213,A6)</f>
        <v>47</v>
      </c>
    </row>
    <row r="7" customFormat="false" ht="42" hidden="false" customHeight="true" outlineLevel="0" collapsed="false">
      <c r="A7" s="2" t="s">
        <v>42</v>
      </c>
      <c r="B7" s="3" t="s">
        <v>43</v>
      </c>
      <c r="C7" s="3" t="s">
        <v>44</v>
      </c>
      <c r="D7" s="3" t="s">
        <v>25</v>
      </c>
      <c r="E7" s="4" t="s">
        <v>22</v>
      </c>
      <c r="F7" s="3" t="s">
        <v>45</v>
      </c>
      <c r="G7" s="4" t="s">
        <v>22</v>
      </c>
      <c r="H7" s="3" t="s">
        <v>46</v>
      </c>
      <c r="I7" s="3" t="s">
        <v>22</v>
      </c>
      <c r="J7" s="4" t="n">
        <f aca="false">COUNTIF(Codifica!$A$2:$A$213,A7)</f>
        <v>26</v>
      </c>
    </row>
    <row r="8" customFormat="false" ht="15" hidden="false" customHeight="false" outlineLevel="0" collapsed="false">
      <c r="A8" s="2" t="s">
        <v>47</v>
      </c>
      <c r="B8" s="2"/>
      <c r="C8" s="2"/>
      <c r="D8" s="2"/>
      <c r="E8" s="2"/>
      <c r="F8" s="2"/>
      <c r="G8" s="2"/>
      <c r="H8" s="2" t="s">
        <v>48</v>
      </c>
      <c r="I8" s="2" t="str">
        <f aca="false">IF(J8=COUNTA(Codifica!$A$2:$A$213),"OK","ERRORE")</f>
        <v>OK</v>
      </c>
      <c r="J8" s="2" t="n">
        <f aca="false">SUM(J2:J7)</f>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85"/>
    <col collapsed="false" customWidth="true" hidden="false" outlineLevel="0" max="4" min="4" style="0" width="13"/>
    <col collapsed="false" customWidth="true" hidden="false" outlineLevel="0" max="5" min="5" style="0" width="16"/>
  </cols>
  <sheetData>
    <row r="1" customFormat="false" ht="27" hidden="false" customHeight="true" outlineLevel="0" collapsed="false">
      <c r="A1" s="1" t="s">
        <v>49</v>
      </c>
      <c r="B1" s="1" t="s">
        <v>50</v>
      </c>
      <c r="C1" s="1" t="s">
        <v>51</v>
      </c>
      <c r="D1" s="1" t="s">
        <v>52</v>
      </c>
      <c r="E1" s="1" t="s">
        <v>53</v>
      </c>
    </row>
    <row r="2" customFormat="false" ht="42" hidden="false" customHeight="true" outlineLevel="0" collapsed="false">
      <c r="A2" s="5" t="s">
        <v>54</v>
      </c>
      <c r="B2" s="3" t="s">
        <v>55</v>
      </c>
      <c r="C2" s="3" t="s">
        <v>56</v>
      </c>
      <c r="D2" s="4" t="n">
        <f aca="false">COUNTIF(Codifica!$C$2:$C$213,"*"&amp;A2&amp;"*")</f>
        <v>18</v>
      </c>
      <c r="E2" s="4" t="n">
        <f aca="false">COUNTIF(Matrice!$C$13:$H$13,"&gt;0")</f>
        <v>5</v>
      </c>
    </row>
    <row r="3" customFormat="false" ht="42" hidden="false" customHeight="true" outlineLevel="0" collapsed="false">
      <c r="A3" s="5" t="s">
        <v>57</v>
      </c>
      <c r="B3" s="3" t="s">
        <v>58</v>
      </c>
      <c r="C3" s="3" t="s">
        <v>59</v>
      </c>
      <c r="D3" s="4" t="n">
        <f aca="false">COUNTIF(Codifica!$C$2:$C$213,"*"&amp;A3&amp;"*")</f>
        <v>11</v>
      </c>
      <c r="E3" s="4" t="n">
        <f aca="false">COUNTIF(Matrice!$C$14:$H$14,"&gt;0")</f>
        <v>4</v>
      </c>
    </row>
    <row r="4" customFormat="false" ht="42" hidden="false" customHeight="true" outlineLevel="0" collapsed="false">
      <c r="A4" s="5" t="s">
        <v>60</v>
      </c>
      <c r="B4" s="3" t="s">
        <v>61</v>
      </c>
      <c r="C4" s="3" t="s">
        <v>62</v>
      </c>
      <c r="D4" s="4" t="n">
        <f aca="false">COUNTIF(Codifica!$C$2:$C$213,"*"&amp;A4&amp;"*")</f>
        <v>10</v>
      </c>
      <c r="E4" s="4" t="n">
        <f aca="false">COUNTIF(Matrice!$C$15:$H$15,"&gt;0")</f>
        <v>4</v>
      </c>
    </row>
    <row r="5" customFormat="false" ht="42" hidden="false" customHeight="true" outlineLevel="0" collapsed="false">
      <c r="A5" s="5" t="s">
        <v>63</v>
      </c>
      <c r="B5" s="3" t="s">
        <v>64</v>
      </c>
      <c r="C5" s="3" t="s">
        <v>65</v>
      </c>
      <c r="D5" s="4" t="n">
        <f aca="false">COUNTIF(Codifica!$C$2:$C$213,"*"&amp;A5&amp;"*")</f>
        <v>14</v>
      </c>
      <c r="E5" s="4" t="n">
        <f aca="false">COUNTIF(Matrice!$C$16:$H$16,"&gt;0")</f>
        <v>6</v>
      </c>
    </row>
    <row r="6" customFormat="false" ht="42" hidden="false" customHeight="true" outlineLevel="0" collapsed="false">
      <c r="A6" s="5" t="s">
        <v>66</v>
      </c>
      <c r="B6" s="3" t="s">
        <v>67</v>
      </c>
      <c r="C6" s="3" t="s">
        <v>68</v>
      </c>
      <c r="D6" s="4" t="n">
        <f aca="false">COUNTIF(Codifica!$C$2:$C$213,"*"&amp;A6&amp;"*")</f>
        <v>18</v>
      </c>
      <c r="E6" s="4" t="n">
        <f aca="false">COUNTIF(Matrice!$C$17:$H$17,"&gt;0")</f>
        <v>6</v>
      </c>
    </row>
    <row r="7" customFormat="false" ht="42" hidden="false" customHeight="true" outlineLevel="0" collapsed="false">
      <c r="A7" s="5" t="s">
        <v>69</v>
      </c>
      <c r="B7" s="3" t="s">
        <v>70</v>
      </c>
      <c r="C7" s="3" t="s">
        <v>71</v>
      </c>
      <c r="D7" s="4" t="n">
        <f aca="false">COUNTIF(Codifica!$C$2:$C$213,"*"&amp;A7&amp;"*")</f>
        <v>9</v>
      </c>
      <c r="E7" s="4" t="n">
        <f aca="false">COUNTIF(Matrice!$C$18:$H$18,"&gt;0")</f>
        <v>4</v>
      </c>
    </row>
    <row r="8" customFormat="false" ht="42" hidden="false" customHeight="true" outlineLevel="0" collapsed="false">
      <c r="A8" s="5" t="s">
        <v>72</v>
      </c>
      <c r="B8" s="3" t="s">
        <v>73</v>
      </c>
      <c r="C8" s="3" t="s">
        <v>74</v>
      </c>
      <c r="D8" s="4" t="n">
        <f aca="false">COUNTIF(Codifica!$C$2:$C$213,"*"&amp;A8&amp;"*")</f>
        <v>17</v>
      </c>
      <c r="E8" s="4" t="n">
        <f aca="false">COUNTIF(Matrice!$C$19:$H$19,"&gt;0")</f>
        <v>6</v>
      </c>
    </row>
    <row r="9" customFormat="false" ht="42" hidden="false" customHeight="true" outlineLevel="0" collapsed="false">
      <c r="A9" s="5" t="s">
        <v>75</v>
      </c>
      <c r="B9" s="3" t="s">
        <v>76</v>
      </c>
      <c r="C9" s="3" t="s">
        <v>77</v>
      </c>
      <c r="D9" s="4" t="n">
        <f aca="false">COUNTIF(Codifica!$C$2:$C$213,"*"&amp;A9&amp;"*")</f>
        <v>14</v>
      </c>
      <c r="E9" s="4" t="n">
        <f aca="false">COUNTIF(Matrice!$C$20:$H$20,"&gt;0")</f>
        <v>5</v>
      </c>
    </row>
    <row r="10" customFormat="false" ht="42" hidden="false" customHeight="true" outlineLevel="0" collapsed="false">
      <c r="A10" s="5" t="s">
        <v>78</v>
      </c>
      <c r="B10" s="3" t="s">
        <v>79</v>
      </c>
      <c r="C10" s="3" t="s">
        <v>80</v>
      </c>
      <c r="D10" s="4" t="n">
        <f aca="false">COUNTIF(Codifica!$C$2:$C$213,"*"&amp;A10&amp;"*")</f>
        <v>15</v>
      </c>
      <c r="E10" s="4" t="n">
        <f aca="false">COUNTIF(Matrice!$C$21:$H$21,"&gt;0")</f>
        <v>5</v>
      </c>
    </row>
    <row r="11" customFormat="false" ht="42" hidden="false" customHeight="true" outlineLevel="0" collapsed="false">
      <c r="A11" s="5" t="s">
        <v>81</v>
      </c>
      <c r="B11" s="3" t="s">
        <v>82</v>
      </c>
      <c r="C11" s="3" t="s">
        <v>83</v>
      </c>
      <c r="D11" s="4" t="n">
        <f aca="false">COUNTIF(Codifica!$C$2:$C$213,"*"&amp;A11&amp;"*")</f>
        <v>7</v>
      </c>
      <c r="E11" s="4" t="n">
        <f aca="false">COUNTIF(Matrice!$C$22:$H$22,"&gt;0")</f>
        <v>3</v>
      </c>
    </row>
    <row r="12" customFormat="false" ht="42" hidden="false" customHeight="true" outlineLevel="0" collapsed="false">
      <c r="A12" s="5" t="s">
        <v>84</v>
      </c>
      <c r="B12" s="3" t="s">
        <v>85</v>
      </c>
      <c r="C12" s="3" t="s">
        <v>86</v>
      </c>
      <c r="D12" s="4" t="n">
        <f aca="false">COUNTIF(Codifica!$C$2:$C$213,"*"&amp;A12&amp;"*")</f>
        <v>29</v>
      </c>
      <c r="E12" s="4" t="n">
        <f aca="false">COUNTIF(Matrice!$C$23:$H$23,"&gt;0")</f>
        <v>6</v>
      </c>
    </row>
    <row r="13" customFormat="false" ht="42" hidden="false" customHeight="true" outlineLevel="0" collapsed="false">
      <c r="A13" s="5" t="s">
        <v>87</v>
      </c>
      <c r="B13" s="3" t="s">
        <v>88</v>
      </c>
      <c r="C13" s="3" t="s">
        <v>89</v>
      </c>
      <c r="D13" s="4" t="n">
        <f aca="false">COUNTIF(Codifica!$C$2:$C$213,"*"&amp;A13&amp;"*")</f>
        <v>14</v>
      </c>
      <c r="E13" s="4" t="n">
        <f aca="false">COUNTIF(Matrice!$C$24:$H$24,"&gt;0")</f>
        <v>5</v>
      </c>
    </row>
    <row r="14" customFormat="false" ht="42" hidden="false" customHeight="true" outlineLevel="0" collapsed="false">
      <c r="A14" s="5" t="s">
        <v>90</v>
      </c>
      <c r="B14" s="3" t="s">
        <v>91</v>
      </c>
      <c r="C14" s="3" t="s">
        <v>92</v>
      </c>
      <c r="D14" s="4" t="n">
        <f aca="false">COUNTIF(Codifica!$C$2:$C$213,"*"&amp;A14&amp;"*")</f>
        <v>14</v>
      </c>
      <c r="E14" s="4" t="n">
        <f aca="false">COUNTIF(Matrice!$C$25:$H$25,"&gt;0")</f>
        <v>5</v>
      </c>
    </row>
    <row r="15" customFormat="false" ht="42" hidden="false" customHeight="true" outlineLevel="0" collapsed="false">
      <c r="A15" s="5" t="s">
        <v>93</v>
      </c>
      <c r="B15" s="3" t="s">
        <v>94</v>
      </c>
      <c r="C15" s="3" t="s">
        <v>95</v>
      </c>
      <c r="D15" s="4" t="n">
        <f aca="false">COUNTIF(Codifica!$C$2:$C$213,"*"&amp;A15&amp;"*")</f>
        <v>22</v>
      </c>
      <c r="E15" s="4" t="n">
        <f aca="false">COUNTIF(Matrice!$C$26:$H$26,"&gt;0")</f>
        <v>6</v>
      </c>
    </row>
    <row r="16" customFormat="false" ht="42" hidden="false" customHeight="true" outlineLevel="0" collapsed="false">
      <c r="A16" s="5" t="s">
        <v>96</v>
      </c>
      <c r="B16" s="3" t="s">
        <v>97</v>
      </c>
      <c r="C16" s="3" t="s">
        <v>98</v>
      </c>
      <c r="D16" s="4" t="n">
        <f aca="false">COUNTIF(Codifica!$C$2:$C$213,"*"&amp;A16&amp;"*")</f>
        <v>14</v>
      </c>
      <c r="E16" s="4" t="n">
        <f aca="false">COUNTIF(Matrice!$C$27:$H$27,"&gt;0")</f>
        <v>6</v>
      </c>
    </row>
    <row r="17" customFormat="false" ht="42" hidden="false" customHeight="true" outlineLevel="0" collapsed="false">
      <c r="A17" s="5" t="s">
        <v>99</v>
      </c>
      <c r="B17" s="3" t="s">
        <v>100</v>
      </c>
      <c r="C17" s="3" t="s">
        <v>101</v>
      </c>
      <c r="D17" s="4" t="n">
        <f aca="false">COUNTIF(Codifica!$C$2:$C$213,"*"&amp;A17&amp;"*")</f>
        <v>10</v>
      </c>
      <c r="E17" s="4" t="n">
        <f aca="false">COUNTIF(Matrice!$C$28:$H$28,"&gt;0")</f>
        <v>3</v>
      </c>
    </row>
    <row r="18" customFormat="false" ht="42" hidden="false" customHeight="true" outlineLevel="0" collapsed="false">
      <c r="A18" s="5" t="s">
        <v>102</v>
      </c>
      <c r="B18" s="3" t="s">
        <v>103</v>
      </c>
      <c r="C18" s="3" t="s">
        <v>104</v>
      </c>
      <c r="D18" s="4" t="n">
        <f aca="false">COUNTIF(Codifica!$C$2:$C$213,"*"&amp;A18&amp;"*")</f>
        <v>7</v>
      </c>
      <c r="E18" s="4" t="n">
        <f aca="false">COUNTIF(Matrice!$C$29:$H$29,"&gt;0")</f>
        <v>3</v>
      </c>
    </row>
    <row r="19" customFormat="false" ht="42" hidden="false" customHeight="true" outlineLevel="0" collapsed="false">
      <c r="A19" s="5" t="s">
        <v>105</v>
      </c>
      <c r="B19" s="3" t="s">
        <v>106</v>
      </c>
      <c r="C19" s="3" t="s">
        <v>107</v>
      </c>
      <c r="D19" s="4" t="n">
        <f aca="false">COUNTIF(Codifica!$C$2:$C$213,"*"&amp;A19&amp;"*")</f>
        <v>13</v>
      </c>
      <c r="E19" s="4" t="n">
        <f aca="false">COUNTIF(Matrice!$C$30:$H$30,"&gt;0")</f>
        <v>6</v>
      </c>
    </row>
    <row r="20" customFormat="false" ht="42" hidden="false" customHeight="true" outlineLevel="0" collapsed="false">
      <c r="A20" s="5" t="s">
        <v>108</v>
      </c>
      <c r="B20" s="3" t="s">
        <v>109</v>
      </c>
      <c r="C20" s="3" t="s">
        <v>110</v>
      </c>
      <c r="D20" s="4" t="n">
        <f aca="false">COUNTIF(Codifica!$C$2:$C$213,"*"&amp;A20&amp;"*")</f>
        <v>6</v>
      </c>
      <c r="E20" s="4" t="n">
        <f aca="false">COUNTIF(Matrice!$C$31:$H$31,"&gt;0")</f>
        <v>2</v>
      </c>
    </row>
    <row r="21" customFormat="false" ht="42" hidden="false" customHeight="true" outlineLevel="0" collapsed="false">
      <c r="A21" s="5" t="s">
        <v>111</v>
      </c>
      <c r="B21" s="3" t="s">
        <v>112</v>
      </c>
      <c r="C21" s="3" t="s">
        <v>113</v>
      </c>
      <c r="D21" s="4" t="n">
        <f aca="false">COUNTIF(Codifica!$C$2:$C$213,"*"&amp;A21&amp;"*")</f>
        <v>11</v>
      </c>
      <c r="E21" s="4" t="n">
        <f aca="false">COUNTIF(Matrice!$C$32:$H$32,"&gt;0")</f>
        <v>4</v>
      </c>
    </row>
    <row r="22" customFormat="false" ht="42" hidden="false" customHeight="true" outlineLevel="0" collapsed="false">
      <c r="A22" s="5" t="s">
        <v>114</v>
      </c>
      <c r="B22" s="3" t="s">
        <v>115</v>
      </c>
      <c r="C22" s="3" t="s">
        <v>116</v>
      </c>
      <c r="D22" s="4" t="n">
        <f aca="false">COUNTIF(Codifica!$C$2:$C$213,"*"&amp;A22&amp;"*")</f>
        <v>10</v>
      </c>
      <c r="E22" s="4" t="n">
        <f aca="false">COUNTIF(Matrice!$C$33:$H$33,"&gt;0")</f>
        <v>2</v>
      </c>
    </row>
    <row r="23" customFormat="false" ht="42" hidden="false" customHeight="true" outlineLevel="0" collapsed="false">
      <c r="A23" s="5" t="s">
        <v>117</v>
      </c>
      <c r="B23" s="3" t="s">
        <v>118</v>
      </c>
      <c r="C23" s="3" t="s">
        <v>119</v>
      </c>
      <c r="D23" s="4" t="n">
        <f aca="false">COUNTIF(Codifica!$C$2:$C$213,"*"&amp;A23&amp;"*")</f>
        <v>3</v>
      </c>
      <c r="E23" s="4" t="n">
        <f aca="false">COUNTIF(Matrice!$C$34:$H$34,"&gt;0")</f>
        <v>2</v>
      </c>
    </row>
    <row r="24" customFormat="false" ht="42" hidden="false" customHeight="true" outlineLevel="0" collapsed="false">
      <c r="A24" s="5" t="s">
        <v>120</v>
      </c>
      <c r="B24" s="3" t="s">
        <v>121</v>
      </c>
      <c r="C24" s="3" t="s">
        <v>122</v>
      </c>
      <c r="D24" s="4" t="n">
        <f aca="false">COUNTIF(Codifica!$C$2:$C$213,"*"&amp;A24&amp;"*")</f>
        <v>5</v>
      </c>
      <c r="E24" s="4" t="n">
        <f aca="false">COUNTIF(Matrice!$C$35:$H$35,"&gt;0")</f>
        <v>4</v>
      </c>
    </row>
    <row r="25" customFormat="false" ht="42" hidden="false" customHeight="true" outlineLevel="0" collapsed="false">
      <c r="A25" s="5" t="s">
        <v>123</v>
      </c>
      <c r="B25" s="3" t="s">
        <v>124</v>
      </c>
      <c r="C25" s="3" t="s">
        <v>125</v>
      </c>
      <c r="D25" s="4" t="n">
        <f aca="false">COUNTIF(Codifica!$C$2:$C$213,"*"&amp;A25&amp;"*")</f>
        <v>12</v>
      </c>
      <c r="E25" s="4" t="n">
        <f aca="false">COUNTIF(Matrice!$C$36:$H$36,"&gt;0")</f>
        <v>1</v>
      </c>
    </row>
    <row r="26" customFormat="false" ht="42" hidden="false" customHeight="true" outlineLevel="0" collapsed="false">
      <c r="A26" s="5" t="s">
        <v>126</v>
      </c>
      <c r="B26" s="3" t="s">
        <v>127</v>
      </c>
      <c r="C26" s="3" t="s">
        <v>128</v>
      </c>
      <c r="D26" s="4" t="n">
        <f aca="false">COUNTIF(Codifica!$C$2:$C$213,"*"&amp;A26&amp;"*")</f>
        <v>13</v>
      </c>
      <c r="E26" s="4" t="n">
        <f aca="false">COUNTIF(Matrice!$C$37:$H$37,"&gt;0")</f>
        <v>3</v>
      </c>
    </row>
    <row r="27" customFormat="false" ht="42" hidden="false" customHeight="true" outlineLevel="0" collapsed="false">
      <c r="A27" s="5" t="s">
        <v>129</v>
      </c>
      <c r="B27" s="3" t="s">
        <v>130</v>
      </c>
      <c r="C27" s="3" t="s">
        <v>131</v>
      </c>
      <c r="D27" s="4" t="n">
        <f aca="false">COUNTIF(Codifica!$C$2:$C$213,"*"&amp;A27&amp;"*")</f>
        <v>4</v>
      </c>
      <c r="E27" s="4" t="n">
        <f aca="false">COUNTIF(Matrice!$C$38:$H$38,"&gt;0")</f>
        <v>3</v>
      </c>
    </row>
    <row r="28" customFormat="false" ht="42" hidden="false" customHeight="true" outlineLevel="0" collapsed="false">
      <c r="A28" s="5" t="s">
        <v>132</v>
      </c>
      <c r="B28" s="3" t="s">
        <v>133</v>
      </c>
      <c r="C28" s="3" t="s">
        <v>134</v>
      </c>
      <c r="D28" s="4" t="n">
        <f aca="false">COUNTIF(Codifica!$C$2:$C$213,"*"&amp;A28&amp;"*")</f>
        <v>2</v>
      </c>
      <c r="E28" s="4" t="n">
        <f aca="false">COUNTIF(Matrice!$C$39:$H$39,"&gt;0")</f>
        <v>2</v>
      </c>
    </row>
    <row r="29" customFormat="false" ht="42" hidden="false" customHeight="true" outlineLevel="0" collapsed="false">
      <c r="A29" s="5" t="s">
        <v>135</v>
      </c>
      <c r="B29" s="3" t="s">
        <v>136</v>
      </c>
      <c r="C29" s="3" t="s">
        <v>137</v>
      </c>
      <c r="D29" s="4" t="n">
        <f aca="false">COUNTIF(Codifica!$C$2:$C$213,"*"&amp;A29&amp;"*")</f>
        <v>1</v>
      </c>
      <c r="E29" s="4" t="n">
        <f aca="false">COUNTIF(Matrice!$C$40:$H$40,"&gt;0")</f>
        <v>1</v>
      </c>
    </row>
  </sheetData>
  <autoFilter ref="A1:E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22"/>
    <col collapsed="false" customWidth="true" hidden="false" outlineLevel="0" max="4" min="4" style="0" width="50"/>
    <col collapsed="false" customWidth="true" hidden="false" outlineLevel="0" max="5" min="5" style="0" width="26"/>
  </cols>
  <sheetData>
    <row r="1" customFormat="false" ht="27" hidden="false" customHeight="true" outlineLevel="0" collapsed="false">
      <c r="A1" s="1" t="s">
        <v>0</v>
      </c>
      <c r="B1" s="1" t="s">
        <v>138</v>
      </c>
      <c r="C1" s="1" t="s">
        <v>139</v>
      </c>
      <c r="D1" s="1" t="s">
        <v>140</v>
      </c>
      <c r="E1" s="1" t="s">
        <v>141</v>
      </c>
    </row>
    <row r="2" customFormat="false" ht="23.85" hidden="false" customHeight="false" outlineLevel="0" collapsed="false">
      <c r="A2" s="5" t="s">
        <v>10</v>
      </c>
      <c r="B2" s="3" t="s">
        <v>142</v>
      </c>
      <c r="C2" s="5" t="s">
        <v>143</v>
      </c>
      <c r="D2" s="3" t="s">
        <v>144</v>
      </c>
      <c r="E2" s="3" t="s">
        <v>145</v>
      </c>
    </row>
    <row r="3" customFormat="false" ht="15" hidden="false" customHeight="false" outlineLevel="0" collapsed="false">
      <c r="A3" s="5" t="s">
        <v>10</v>
      </c>
      <c r="B3" s="3" t="s">
        <v>146</v>
      </c>
      <c r="C3" s="5" t="s">
        <v>57</v>
      </c>
      <c r="D3" s="3" t="s">
        <v>58</v>
      </c>
      <c r="E3" s="3" t="s">
        <v>147</v>
      </c>
    </row>
    <row r="4" customFormat="false" ht="23.85" hidden="false" customHeight="false" outlineLevel="0" collapsed="false">
      <c r="A4" s="5" t="s">
        <v>10</v>
      </c>
      <c r="B4" s="3" t="s">
        <v>148</v>
      </c>
      <c r="C4" s="5" t="s">
        <v>149</v>
      </c>
      <c r="D4" s="3" t="s">
        <v>150</v>
      </c>
      <c r="E4" s="3" t="s">
        <v>147</v>
      </c>
    </row>
    <row r="5" customFormat="false" ht="23.85" hidden="false" customHeight="false" outlineLevel="0" collapsed="false">
      <c r="A5" s="5" t="s">
        <v>10</v>
      </c>
      <c r="B5" s="3" t="s">
        <v>151</v>
      </c>
      <c r="C5" s="5" t="s">
        <v>84</v>
      </c>
      <c r="D5" s="3" t="s">
        <v>85</v>
      </c>
      <c r="E5" s="3" t="s">
        <v>147</v>
      </c>
    </row>
    <row r="6" customFormat="false" ht="23.85" hidden="false" customHeight="false" outlineLevel="0" collapsed="false">
      <c r="A6" s="5" t="s">
        <v>10</v>
      </c>
      <c r="B6" s="3" t="s">
        <v>152</v>
      </c>
      <c r="C6" s="5" t="s">
        <v>153</v>
      </c>
      <c r="D6" s="3" t="s">
        <v>154</v>
      </c>
      <c r="E6" s="3" t="s">
        <v>155</v>
      </c>
    </row>
    <row r="7" customFormat="false" ht="23.85" hidden="false" customHeight="false" outlineLevel="0" collapsed="false">
      <c r="A7" s="5" t="s">
        <v>10</v>
      </c>
      <c r="B7" s="3" t="s">
        <v>156</v>
      </c>
      <c r="C7" s="5" t="s">
        <v>157</v>
      </c>
      <c r="D7" s="3" t="s">
        <v>158</v>
      </c>
      <c r="E7" s="3" t="s">
        <v>155</v>
      </c>
    </row>
    <row r="8" customFormat="false" ht="23.85" hidden="false" customHeight="false" outlineLevel="0" collapsed="false">
      <c r="A8" s="5" t="s">
        <v>10</v>
      </c>
      <c r="B8" s="3" t="s">
        <v>159</v>
      </c>
      <c r="C8" s="5" t="s">
        <v>160</v>
      </c>
      <c r="D8" s="3" t="s">
        <v>161</v>
      </c>
      <c r="E8" s="3" t="s">
        <v>155</v>
      </c>
    </row>
    <row r="9" customFormat="false" ht="23.85" hidden="false" customHeight="false" outlineLevel="0" collapsed="false">
      <c r="A9" s="5" t="s">
        <v>10</v>
      </c>
      <c r="B9" s="3" t="s">
        <v>162</v>
      </c>
      <c r="C9" s="5" t="s">
        <v>163</v>
      </c>
      <c r="D9" s="3" t="s">
        <v>164</v>
      </c>
      <c r="E9" s="3" t="s">
        <v>165</v>
      </c>
    </row>
    <row r="10" customFormat="false" ht="23.85" hidden="false" customHeight="false" outlineLevel="0" collapsed="false">
      <c r="A10" s="5" t="s">
        <v>10</v>
      </c>
      <c r="B10" s="3" t="s">
        <v>166</v>
      </c>
      <c r="C10" s="5" t="s">
        <v>54</v>
      </c>
      <c r="D10" s="3" t="s">
        <v>55</v>
      </c>
      <c r="E10" s="3" t="s">
        <v>165</v>
      </c>
    </row>
    <row r="11" customFormat="false" ht="23.85" hidden="false" customHeight="false" outlineLevel="0" collapsed="false">
      <c r="A11" s="5" t="s">
        <v>10</v>
      </c>
      <c r="B11" s="3" t="s">
        <v>167</v>
      </c>
      <c r="C11" s="5" t="s">
        <v>163</v>
      </c>
      <c r="D11" s="3" t="s">
        <v>164</v>
      </c>
      <c r="E11" s="3" t="s">
        <v>165</v>
      </c>
    </row>
    <row r="12" customFormat="false" ht="23.85" hidden="false" customHeight="false" outlineLevel="0" collapsed="false">
      <c r="A12" s="5" t="s">
        <v>10</v>
      </c>
      <c r="B12" s="3" t="s">
        <v>168</v>
      </c>
      <c r="C12" s="5" t="s">
        <v>169</v>
      </c>
      <c r="D12" s="3" t="s">
        <v>170</v>
      </c>
      <c r="E12" s="3" t="s">
        <v>165</v>
      </c>
    </row>
    <row r="13" customFormat="false" ht="23.85" hidden="false" customHeight="false" outlineLevel="0" collapsed="false">
      <c r="A13" s="5" t="s">
        <v>10</v>
      </c>
      <c r="B13" s="3" t="s">
        <v>171</v>
      </c>
      <c r="C13" s="5" t="s">
        <v>72</v>
      </c>
      <c r="D13" s="3" t="s">
        <v>73</v>
      </c>
      <c r="E13" s="3" t="s">
        <v>172</v>
      </c>
    </row>
    <row r="14" customFormat="false" ht="23.85" hidden="false" customHeight="false" outlineLevel="0" collapsed="false">
      <c r="A14" s="5" t="s">
        <v>10</v>
      </c>
      <c r="B14" s="3" t="s">
        <v>173</v>
      </c>
      <c r="C14" s="5" t="s">
        <v>78</v>
      </c>
      <c r="D14" s="3" t="s">
        <v>79</v>
      </c>
      <c r="E14" s="3" t="s">
        <v>172</v>
      </c>
    </row>
    <row r="15" customFormat="false" ht="23.85" hidden="false" customHeight="false" outlineLevel="0" collapsed="false">
      <c r="A15" s="5" t="s">
        <v>10</v>
      </c>
      <c r="B15" s="3" t="s">
        <v>174</v>
      </c>
      <c r="C15" s="5" t="s">
        <v>75</v>
      </c>
      <c r="D15" s="3" t="s">
        <v>76</v>
      </c>
      <c r="E15" s="3" t="s">
        <v>175</v>
      </c>
    </row>
    <row r="16" customFormat="false" ht="23.85" hidden="false" customHeight="false" outlineLevel="0" collapsed="false">
      <c r="A16" s="5" t="s">
        <v>10</v>
      </c>
      <c r="B16" s="3" t="s">
        <v>176</v>
      </c>
      <c r="C16" s="5" t="s">
        <v>75</v>
      </c>
      <c r="D16" s="3" t="s">
        <v>76</v>
      </c>
      <c r="E16" s="3" t="s">
        <v>175</v>
      </c>
    </row>
    <row r="17" customFormat="false" ht="23.85" hidden="false" customHeight="false" outlineLevel="0" collapsed="false">
      <c r="A17" s="5" t="s">
        <v>10</v>
      </c>
      <c r="B17" s="3" t="s">
        <v>177</v>
      </c>
      <c r="C17" s="5" t="s">
        <v>178</v>
      </c>
      <c r="D17" s="3" t="s">
        <v>179</v>
      </c>
      <c r="E17" s="3" t="s">
        <v>180</v>
      </c>
    </row>
    <row r="18" customFormat="false" ht="35.05" hidden="false" customHeight="false" outlineLevel="0" collapsed="false">
      <c r="A18" s="5" t="s">
        <v>10</v>
      </c>
      <c r="B18" s="3" t="s">
        <v>181</v>
      </c>
      <c r="C18" s="5" t="s">
        <v>182</v>
      </c>
      <c r="D18" s="3" t="s">
        <v>183</v>
      </c>
      <c r="E18" s="3" t="s">
        <v>184</v>
      </c>
    </row>
    <row r="19" customFormat="false" ht="15" hidden="false" customHeight="false" outlineLevel="0" collapsed="false">
      <c r="A19" s="5" t="s">
        <v>10</v>
      </c>
      <c r="B19" s="3" t="s">
        <v>185</v>
      </c>
      <c r="C19" s="5" t="s">
        <v>102</v>
      </c>
      <c r="D19" s="3" t="s">
        <v>103</v>
      </c>
      <c r="E19" s="3" t="s">
        <v>184</v>
      </c>
    </row>
    <row r="20" customFormat="false" ht="23.85" hidden="false" customHeight="false" outlineLevel="0" collapsed="false">
      <c r="A20" s="5" t="s">
        <v>10</v>
      </c>
      <c r="B20" s="3" t="s">
        <v>186</v>
      </c>
      <c r="C20" s="5" t="s">
        <v>187</v>
      </c>
      <c r="D20" s="3" t="s">
        <v>188</v>
      </c>
      <c r="E20" s="3" t="s">
        <v>189</v>
      </c>
    </row>
    <row r="21" customFormat="false" ht="15" hidden="false" customHeight="false" outlineLevel="0" collapsed="false">
      <c r="A21" s="5" t="s">
        <v>10</v>
      </c>
      <c r="B21" s="3" t="s">
        <v>190</v>
      </c>
      <c r="C21" s="5" t="s">
        <v>90</v>
      </c>
      <c r="D21" s="3" t="s">
        <v>91</v>
      </c>
      <c r="E21" s="3" t="s">
        <v>189</v>
      </c>
    </row>
    <row r="22" customFormat="false" ht="23.85" hidden="false" customHeight="false" outlineLevel="0" collapsed="false">
      <c r="A22" s="5" t="s">
        <v>10</v>
      </c>
      <c r="B22" s="3" t="s">
        <v>191</v>
      </c>
      <c r="C22" s="5" t="s">
        <v>192</v>
      </c>
      <c r="D22" s="3" t="s">
        <v>193</v>
      </c>
      <c r="E22" s="3" t="s">
        <v>189</v>
      </c>
    </row>
    <row r="23" customFormat="false" ht="23.85" hidden="false" customHeight="false" outlineLevel="0" collapsed="false">
      <c r="A23" s="5" t="s">
        <v>10</v>
      </c>
      <c r="B23" s="3" t="s">
        <v>194</v>
      </c>
      <c r="C23" s="5" t="s">
        <v>90</v>
      </c>
      <c r="D23" s="3" t="s">
        <v>91</v>
      </c>
      <c r="E23" s="3" t="s">
        <v>189</v>
      </c>
    </row>
    <row r="24" customFormat="false" ht="23.85" hidden="false" customHeight="false" outlineLevel="0" collapsed="false">
      <c r="A24" s="5" t="s">
        <v>10</v>
      </c>
      <c r="B24" s="3" t="s">
        <v>195</v>
      </c>
      <c r="C24" s="5" t="s">
        <v>90</v>
      </c>
      <c r="D24" s="3" t="s">
        <v>91</v>
      </c>
      <c r="E24" s="3" t="s">
        <v>196</v>
      </c>
    </row>
    <row r="25" customFormat="false" ht="15" hidden="false" customHeight="false" outlineLevel="0" collapsed="false">
      <c r="A25" s="5" t="s">
        <v>10</v>
      </c>
      <c r="B25" s="3" t="s">
        <v>197</v>
      </c>
      <c r="C25" s="5" t="s">
        <v>90</v>
      </c>
      <c r="D25" s="3" t="s">
        <v>91</v>
      </c>
      <c r="E25" s="3" t="s">
        <v>196</v>
      </c>
    </row>
    <row r="26" customFormat="false" ht="23.85" hidden="false" customHeight="false" outlineLevel="0" collapsed="false">
      <c r="A26" s="5" t="s">
        <v>10</v>
      </c>
      <c r="B26" s="3" t="s">
        <v>198</v>
      </c>
      <c r="C26" s="5" t="s">
        <v>87</v>
      </c>
      <c r="D26" s="3" t="s">
        <v>88</v>
      </c>
      <c r="E26" s="3" t="s">
        <v>196</v>
      </c>
    </row>
    <row r="27" customFormat="false" ht="35.05" hidden="false" customHeight="false" outlineLevel="0" collapsed="false">
      <c r="A27" s="5" t="s">
        <v>10</v>
      </c>
      <c r="B27" s="3" t="s">
        <v>199</v>
      </c>
      <c r="C27" s="5" t="s">
        <v>200</v>
      </c>
      <c r="D27" s="3" t="s">
        <v>201</v>
      </c>
      <c r="E27" s="3" t="s">
        <v>196</v>
      </c>
    </row>
    <row r="28" customFormat="false" ht="15" hidden="false" customHeight="false" outlineLevel="0" collapsed="false">
      <c r="A28" s="5" t="s">
        <v>10</v>
      </c>
      <c r="B28" s="3" t="s">
        <v>202</v>
      </c>
      <c r="C28" s="5" t="s">
        <v>87</v>
      </c>
      <c r="D28" s="3" t="s">
        <v>88</v>
      </c>
      <c r="E28" s="3" t="s">
        <v>196</v>
      </c>
    </row>
    <row r="29" customFormat="false" ht="23.85" hidden="false" customHeight="false" outlineLevel="0" collapsed="false">
      <c r="A29" s="5" t="s">
        <v>10</v>
      </c>
      <c r="B29" s="3" t="s">
        <v>203</v>
      </c>
      <c r="C29" s="5" t="s">
        <v>90</v>
      </c>
      <c r="D29" s="3" t="s">
        <v>91</v>
      </c>
      <c r="E29" s="3" t="s">
        <v>196</v>
      </c>
    </row>
    <row r="30" customFormat="false" ht="15" hidden="false" customHeight="false" outlineLevel="0" collapsed="false">
      <c r="A30" s="5" t="s">
        <v>10</v>
      </c>
      <c r="B30" s="3" t="s">
        <v>204</v>
      </c>
      <c r="C30" s="5" t="s">
        <v>205</v>
      </c>
      <c r="D30" s="3" t="s">
        <v>206</v>
      </c>
      <c r="E30" s="3" t="s">
        <v>207</v>
      </c>
    </row>
    <row r="31" customFormat="false" ht="23.85" hidden="false" customHeight="false" outlineLevel="0" collapsed="false">
      <c r="A31" s="5" t="s">
        <v>10</v>
      </c>
      <c r="B31" s="3" t="s">
        <v>208</v>
      </c>
      <c r="C31" s="5" t="s">
        <v>93</v>
      </c>
      <c r="D31" s="3" t="s">
        <v>94</v>
      </c>
      <c r="E31" s="3" t="s">
        <v>207</v>
      </c>
    </row>
    <row r="32" customFormat="false" ht="23.85" hidden="false" customHeight="false" outlineLevel="0" collapsed="false">
      <c r="A32" s="5" t="s">
        <v>10</v>
      </c>
      <c r="B32" s="3" t="s">
        <v>209</v>
      </c>
      <c r="C32" s="5" t="s">
        <v>210</v>
      </c>
      <c r="D32" s="3" t="s">
        <v>211</v>
      </c>
      <c r="E32" s="3" t="s">
        <v>207</v>
      </c>
    </row>
    <row r="33" customFormat="false" ht="23.85" hidden="false" customHeight="false" outlineLevel="0" collapsed="false">
      <c r="A33" s="5" t="s">
        <v>10</v>
      </c>
      <c r="B33" s="3" t="s">
        <v>212</v>
      </c>
      <c r="C33" s="5" t="s">
        <v>213</v>
      </c>
      <c r="D33" s="3" t="s">
        <v>214</v>
      </c>
      <c r="E33" s="3" t="s">
        <v>215</v>
      </c>
    </row>
    <row r="34" customFormat="false" ht="15" hidden="false" customHeight="false" outlineLevel="0" collapsed="false">
      <c r="A34" s="5" t="s">
        <v>10</v>
      </c>
      <c r="B34" s="3" t="s">
        <v>216</v>
      </c>
      <c r="C34" s="5" t="s">
        <v>72</v>
      </c>
      <c r="D34" s="3" t="s">
        <v>73</v>
      </c>
      <c r="E34" s="3" t="s">
        <v>215</v>
      </c>
    </row>
    <row r="35" customFormat="false" ht="23.85" hidden="false" customHeight="false" outlineLevel="0" collapsed="false">
      <c r="A35" s="5" t="s">
        <v>10</v>
      </c>
      <c r="B35" s="3" t="s">
        <v>217</v>
      </c>
      <c r="C35" s="5" t="s">
        <v>218</v>
      </c>
      <c r="D35" s="3" t="s">
        <v>219</v>
      </c>
      <c r="E35" s="3" t="s">
        <v>220</v>
      </c>
    </row>
    <row r="36" customFormat="false" ht="23.85" hidden="false" customHeight="false" outlineLevel="0" collapsed="false">
      <c r="A36" s="5" t="s">
        <v>10</v>
      </c>
      <c r="B36" s="3" t="s">
        <v>221</v>
      </c>
      <c r="C36" s="5" t="s">
        <v>149</v>
      </c>
      <c r="D36" s="3" t="s">
        <v>150</v>
      </c>
      <c r="E36" s="3" t="s">
        <v>220</v>
      </c>
    </row>
    <row r="37" customFormat="false" ht="15" hidden="false" customHeight="false" outlineLevel="0" collapsed="false">
      <c r="A37" s="5" t="s">
        <v>10</v>
      </c>
      <c r="B37" s="3" t="s">
        <v>222</v>
      </c>
      <c r="C37" s="5" t="s">
        <v>84</v>
      </c>
      <c r="D37" s="3" t="s">
        <v>85</v>
      </c>
      <c r="E37" s="3" t="s">
        <v>220</v>
      </c>
    </row>
    <row r="38" customFormat="false" ht="23.85" hidden="false" customHeight="false" outlineLevel="0" collapsed="false">
      <c r="A38" s="5" t="s">
        <v>10</v>
      </c>
      <c r="B38" s="3" t="s">
        <v>223</v>
      </c>
      <c r="C38" s="5" t="s">
        <v>224</v>
      </c>
      <c r="D38" s="3" t="s">
        <v>225</v>
      </c>
      <c r="E38" s="3" t="s">
        <v>226</v>
      </c>
    </row>
    <row r="39" customFormat="false" ht="23.85" hidden="false" customHeight="false" outlineLevel="0" collapsed="false">
      <c r="A39" s="5" t="s">
        <v>10</v>
      </c>
      <c r="B39" s="3" t="s">
        <v>227</v>
      </c>
      <c r="C39" s="5" t="s">
        <v>228</v>
      </c>
      <c r="D39" s="3" t="s">
        <v>229</v>
      </c>
      <c r="E39" s="3" t="s">
        <v>226</v>
      </c>
    </row>
    <row r="40" customFormat="false" ht="15" hidden="false" customHeight="false" outlineLevel="0" collapsed="false">
      <c r="A40" s="5" t="s">
        <v>10</v>
      </c>
      <c r="B40" s="3" t="s">
        <v>230</v>
      </c>
      <c r="C40" s="5" t="s">
        <v>63</v>
      </c>
      <c r="D40" s="3" t="s">
        <v>64</v>
      </c>
      <c r="E40" s="3" t="s">
        <v>226</v>
      </c>
    </row>
    <row r="41" customFormat="false" ht="23.85" hidden="false" customHeight="false" outlineLevel="0" collapsed="false">
      <c r="A41" s="5" t="s">
        <v>10</v>
      </c>
      <c r="B41" s="3" t="s">
        <v>231</v>
      </c>
      <c r="C41" s="5" t="s">
        <v>63</v>
      </c>
      <c r="D41" s="3" t="s">
        <v>64</v>
      </c>
      <c r="E41" s="3" t="s">
        <v>226</v>
      </c>
    </row>
    <row r="42" customFormat="false" ht="15" hidden="false" customHeight="false" outlineLevel="0" collapsed="false">
      <c r="A42" s="5" t="s">
        <v>10</v>
      </c>
      <c r="B42" s="3" t="s">
        <v>232</v>
      </c>
      <c r="C42" s="5" t="s">
        <v>63</v>
      </c>
      <c r="D42" s="3" t="s">
        <v>64</v>
      </c>
      <c r="E42" s="3" t="s">
        <v>233</v>
      </c>
    </row>
    <row r="43" customFormat="false" ht="23.85" hidden="false" customHeight="false" outlineLevel="0" collapsed="false">
      <c r="A43" s="5" t="s">
        <v>17</v>
      </c>
      <c r="B43" s="3" t="s">
        <v>234</v>
      </c>
      <c r="C43" s="5" t="s">
        <v>235</v>
      </c>
      <c r="D43" s="3" t="s">
        <v>236</v>
      </c>
      <c r="E43" s="3" t="s">
        <v>189</v>
      </c>
    </row>
    <row r="44" customFormat="false" ht="35.05" hidden="false" customHeight="false" outlineLevel="0" collapsed="false">
      <c r="A44" s="5" t="s">
        <v>17</v>
      </c>
      <c r="B44" s="3" t="s">
        <v>237</v>
      </c>
      <c r="C44" s="5" t="s">
        <v>96</v>
      </c>
      <c r="D44" s="3" t="s">
        <v>97</v>
      </c>
      <c r="E44" s="3" t="s">
        <v>189</v>
      </c>
    </row>
    <row r="45" customFormat="false" ht="23.85" hidden="false" customHeight="false" outlineLevel="0" collapsed="false">
      <c r="A45" s="5" t="s">
        <v>17</v>
      </c>
      <c r="B45" s="3" t="s">
        <v>238</v>
      </c>
      <c r="C45" s="5" t="s">
        <v>239</v>
      </c>
      <c r="D45" s="3" t="s">
        <v>240</v>
      </c>
      <c r="E45" s="3" t="s">
        <v>189</v>
      </c>
    </row>
    <row r="46" customFormat="false" ht="15" hidden="false" customHeight="false" outlineLevel="0" collapsed="false">
      <c r="A46" s="5" t="s">
        <v>17</v>
      </c>
      <c r="B46" s="3" t="s">
        <v>241</v>
      </c>
      <c r="C46" s="5" t="s">
        <v>54</v>
      </c>
      <c r="D46" s="3" t="s">
        <v>55</v>
      </c>
      <c r="E46" s="3" t="s">
        <v>145</v>
      </c>
    </row>
    <row r="47" customFormat="false" ht="35.05" hidden="false" customHeight="false" outlineLevel="0" collapsed="false">
      <c r="A47" s="5" t="s">
        <v>17</v>
      </c>
      <c r="B47" s="3" t="s">
        <v>242</v>
      </c>
      <c r="C47" s="5" t="s">
        <v>243</v>
      </c>
      <c r="D47" s="3" t="s">
        <v>244</v>
      </c>
      <c r="E47" s="3" t="s">
        <v>145</v>
      </c>
    </row>
    <row r="48" customFormat="false" ht="23.85" hidden="false" customHeight="false" outlineLevel="0" collapsed="false">
      <c r="A48" s="5" t="s">
        <v>17</v>
      </c>
      <c r="B48" s="3" t="s">
        <v>245</v>
      </c>
      <c r="C48" s="5" t="s">
        <v>243</v>
      </c>
      <c r="D48" s="3" t="s">
        <v>244</v>
      </c>
      <c r="E48" s="3" t="s">
        <v>145</v>
      </c>
    </row>
    <row r="49" customFormat="false" ht="15" hidden="false" customHeight="false" outlineLevel="0" collapsed="false">
      <c r="A49" s="5" t="s">
        <v>17</v>
      </c>
      <c r="B49" s="3" t="s">
        <v>246</v>
      </c>
      <c r="C49" s="5" t="s">
        <v>60</v>
      </c>
      <c r="D49" s="3" t="s">
        <v>61</v>
      </c>
      <c r="E49" s="3" t="s">
        <v>155</v>
      </c>
    </row>
    <row r="50" customFormat="false" ht="35.05" hidden="false" customHeight="false" outlineLevel="0" collapsed="false">
      <c r="A50" s="5" t="s">
        <v>17</v>
      </c>
      <c r="B50" s="3" t="s">
        <v>247</v>
      </c>
      <c r="C50" s="5" t="s">
        <v>60</v>
      </c>
      <c r="D50" s="3" t="s">
        <v>61</v>
      </c>
      <c r="E50" s="3" t="s">
        <v>155</v>
      </c>
    </row>
    <row r="51" customFormat="false" ht="23.85" hidden="false" customHeight="false" outlineLevel="0" collapsed="false">
      <c r="A51" s="5" t="s">
        <v>17</v>
      </c>
      <c r="B51" s="3" t="s">
        <v>248</v>
      </c>
      <c r="C51" s="5" t="s">
        <v>57</v>
      </c>
      <c r="D51" s="3" t="s">
        <v>58</v>
      </c>
      <c r="E51" s="3" t="s">
        <v>249</v>
      </c>
    </row>
    <row r="52" customFormat="false" ht="23.85" hidden="false" customHeight="false" outlineLevel="0" collapsed="false">
      <c r="A52" s="5" t="s">
        <v>17</v>
      </c>
      <c r="B52" s="3" t="s">
        <v>250</v>
      </c>
      <c r="C52" s="5" t="s">
        <v>57</v>
      </c>
      <c r="D52" s="3" t="s">
        <v>58</v>
      </c>
      <c r="E52" s="3" t="s">
        <v>249</v>
      </c>
    </row>
    <row r="53" customFormat="false" ht="35.05" hidden="false" customHeight="false" outlineLevel="0" collapsed="false">
      <c r="A53" s="5" t="s">
        <v>17</v>
      </c>
      <c r="B53" s="3" t="s">
        <v>251</v>
      </c>
      <c r="C53" s="5" t="s">
        <v>252</v>
      </c>
      <c r="D53" s="3" t="s">
        <v>253</v>
      </c>
      <c r="E53" s="3" t="s">
        <v>249</v>
      </c>
    </row>
    <row r="54" customFormat="false" ht="23.85" hidden="false" customHeight="false" outlineLevel="0" collapsed="false">
      <c r="A54" s="5" t="s">
        <v>17</v>
      </c>
      <c r="B54" s="3" t="s">
        <v>254</v>
      </c>
      <c r="C54" s="5" t="s">
        <v>255</v>
      </c>
      <c r="D54" s="3" t="s">
        <v>256</v>
      </c>
      <c r="E54" s="3" t="s">
        <v>165</v>
      </c>
    </row>
    <row r="55" customFormat="false" ht="46.25" hidden="false" customHeight="false" outlineLevel="0" collapsed="false">
      <c r="A55" s="5" t="s">
        <v>17</v>
      </c>
      <c r="B55" s="3" t="s">
        <v>257</v>
      </c>
      <c r="C55" s="5" t="s">
        <v>69</v>
      </c>
      <c r="D55" s="3" t="s">
        <v>70</v>
      </c>
      <c r="E55" s="3" t="s">
        <v>172</v>
      </c>
    </row>
    <row r="56" customFormat="false" ht="23.85" hidden="false" customHeight="false" outlineLevel="0" collapsed="false">
      <c r="A56" s="5" t="s">
        <v>17</v>
      </c>
      <c r="B56" s="3" t="s">
        <v>258</v>
      </c>
      <c r="C56" s="5" t="s">
        <v>259</v>
      </c>
      <c r="D56" s="3" t="s">
        <v>260</v>
      </c>
      <c r="E56" s="3" t="s">
        <v>175</v>
      </c>
    </row>
    <row r="57" customFormat="false" ht="35.05" hidden="false" customHeight="false" outlineLevel="0" collapsed="false">
      <c r="A57" s="5" t="s">
        <v>17</v>
      </c>
      <c r="B57" s="3" t="s">
        <v>261</v>
      </c>
      <c r="C57" s="5" t="s">
        <v>259</v>
      </c>
      <c r="D57" s="3" t="s">
        <v>260</v>
      </c>
      <c r="E57" s="3" t="s">
        <v>175</v>
      </c>
    </row>
    <row r="58" customFormat="false" ht="23.85" hidden="false" customHeight="false" outlineLevel="0" collapsed="false">
      <c r="A58" s="5" t="s">
        <v>17</v>
      </c>
      <c r="B58" s="3" t="s">
        <v>262</v>
      </c>
      <c r="C58" s="5" t="s">
        <v>75</v>
      </c>
      <c r="D58" s="3" t="s">
        <v>76</v>
      </c>
      <c r="E58" s="3" t="s">
        <v>175</v>
      </c>
    </row>
    <row r="59" customFormat="false" ht="35.05" hidden="false" customHeight="false" outlineLevel="0" collapsed="false">
      <c r="A59" s="5" t="s">
        <v>17</v>
      </c>
      <c r="B59" s="3" t="s">
        <v>263</v>
      </c>
      <c r="C59" s="5" t="s">
        <v>81</v>
      </c>
      <c r="D59" s="3" t="s">
        <v>82</v>
      </c>
      <c r="E59" s="3" t="s">
        <v>180</v>
      </c>
    </row>
    <row r="60" customFormat="false" ht="23.85" hidden="false" customHeight="false" outlineLevel="0" collapsed="false">
      <c r="A60" s="5" t="s">
        <v>17</v>
      </c>
      <c r="B60" s="3" t="s">
        <v>264</v>
      </c>
      <c r="C60" s="5" t="s">
        <v>84</v>
      </c>
      <c r="D60" s="3" t="s">
        <v>85</v>
      </c>
      <c r="E60" s="3" t="s">
        <v>180</v>
      </c>
    </row>
    <row r="61" customFormat="false" ht="35.05" hidden="false" customHeight="false" outlineLevel="0" collapsed="false">
      <c r="A61" s="5" t="s">
        <v>17</v>
      </c>
      <c r="B61" s="3" t="s">
        <v>265</v>
      </c>
      <c r="C61" s="5" t="s">
        <v>266</v>
      </c>
      <c r="D61" s="3" t="s">
        <v>267</v>
      </c>
      <c r="E61" s="3" t="s">
        <v>180</v>
      </c>
    </row>
    <row r="62" customFormat="false" ht="35.05" hidden="false" customHeight="false" outlineLevel="0" collapsed="false">
      <c r="A62" s="5" t="s">
        <v>17</v>
      </c>
      <c r="B62" s="3" t="s">
        <v>268</v>
      </c>
      <c r="C62" s="5" t="s">
        <v>99</v>
      </c>
      <c r="D62" s="3" t="s">
        <v>100</v>
      </c>
      <c r="E62" s="3" t="s">
        <v>184</v>
      </c>
    </row>
    <row r="63" customFormat="false" ht="15" hidden="false" customHeight="false" outlineLevel="0" collapsed="false">
      <c r="A63" s="5" t="s">
        <v>17</v>
      </c>
      <c r="B63" s="3" t="s">
        <v>269</v>
      </c>
      <c r="C63" s="5" t="s">
        <v>87</v>
      </c>
      <c r="D63" s="3" t="s">
        <v>88</v>
      </c>
      <c r="E63" s="3" t="s">
        <v>196</v>
      </c>
    </row>
    <row r="64" customFormat="false" ht="23.85" hidden="false" customHeight="false" outlineLevel="0" collapsed="false">
      <c r="A64" s="5" t="s">
        <v>17</v>
      </c>
      <c r="B64" s="3" t="s">
        <v>270</v>
      </c>
      <c r="C64" s="5" t="s">
        <v>87</v>
      </c>
      <c r="D64" s="3" t="s">
        <v>88</v>
      </c>
      <c r="E64" s="3" t="s">
        <v>196</v>
      </c>
    </row>
    <row r="65" customFormat="false" ht="35.05" hidden="false" customHeight="false" outlineLevel="0" collapsed="false">
      <c r="A65" s="5" t="s">
        <v>17</v>
      </c>
      <c r="B65" s="3" t="s">
        <v>271</v>
      </c>
      <c r="C65" s="5" t="s">
        <v>272</v>
      </c>
      <c r="D65" s="3" t="s">
        <v>273</v>
      </c>
      <c r="E65" s="3" t="s">
        <v>196</v>
      </c>
    </row>
    <row r="66" customFormat="false" ht="23.85" hidden="false" customHeight="false" outlineLevel="0" collapsed="false">
      <c r="A66" s="5" t="s">
        <v>17</v>
      </c>
      <c r="B66" s="3" t="s">
        <v>274</v>
      </c>
      <c r="C66" s="5" t="s">
        <v>96</v>
      </c>
      <c r="D66" s="3" t="s">
        <v>97</v>
      </c>
      <c r="E66" s="3" t="s">
        <v>207</v>
      </c>
    </row>
    <row r="67" customFormat="false" ht="46.25" hidden="false" customHeight="false" outlineLevel="0" collapsed="false">
      <c r="A67" s="5" t="s">
        <v>17</v>
      </c>
      <c r="B67" s="3" t="s">
        <v>275</v>
      </c>
      <c r="C67" s="5" t="s">
        <v>205</v>
      </c>
      <c r="D67" s="3" t="s">
        <v>206</v>
      </c>
      <c r="E67" s="3" t="s">
        <v>207</v>
      </c>
    </row>
    <row r="68" customFormat="false" ht="15" hidden="false" customHeight="false" outlineLevel="0" collapsed="false">
      <c r="A68" s="5" t="s">
        <v>17</v>
      </c>
      <c r="B68" s="3" t="s">
        <v>276</v>
      </c>
      <c r="C68" s="5" t="s">
        <v>96</v>
      </c>
      <c r="D68" s="3" t="s">
        <v>97</v>
      </c>
      <c r="E68" s="3" t="s">
        <v>207</v>
      </c>
    </row>
    <row r="69" customFormat="false" ht="23.85" hidden="false" customHeight="false" outlineLevel="0" collapsed="false">
      <c r="A69" s="5" t="s">
        <v>17</v>
      </c>
      <c r="B69" s="3" t="s">
        <v>277</v>
      </c>
      <c r="C69" s="5" t="s">
        <v>278</v>
      </c>
      <c r="D69" s="3" t="s">
        <v>279</v>
      </c>
      <c r="E69" s="3" t="s">
        <v>215</v>
      </c>
    </row>
    <row r="70" customFormat="false" ht="23.85" hidden="false" customHeight="false" outlineLevel="0" collapsed="false">
      <c r="A70" s="5" t="s">
        <v>17</v>
      </c>
      <c r="B70" s="3" t="s">
        <v>280</v>
      </c>
      <c r="C70" s="5" t="s">
        <v>278</v>
      </c>
      <c r="D70" s="3" t="s">
        <v>279</v>
      </c>
      <c r="E70" s="3" t="s">
        <v>215</v>
      </c>
    </row>
    <row r="71" customFormat="false" ht="35.05" hidden="false" customHeight="false" outlineLevel="0" collapsed="false">
      <c r="A71" s="5" t="s">
        <v>17</v>
      </c>
      <c r="B71" s="3" t="s">
        <v>281</v>
      </c>
      <c r="C71" s="5" t="s">
        <v>282</v>
      </c>
      <c r="D71" s="3" t="s">
        <v>283</v>
      </c>
      <c r="E71" s="3" t="s">
        <v>220</v>
      </c>
    </row>
    <row r="72" customFormat="false" ht="15" hidden="false" customHeight="false" outlineLevel="0" collapsed="false">
      <c r="A72" s="5" t="s">
        <v>17</v>
      </c>
      <c r="B72" s="3" t="s">
        <v>284</v>
      </c>
      <c r="C72" s="5" t="s">
        <v>54</v>
      </c>
      <c r="D72" s="3" t="s">
        <v>55</v>
      </c>
      <c r="E72" s="3" t="s">
        <v>220</v>
      </c>
    </row>
    <row r="73" customFormat="false" ht="23.85" hidden="false" customHeight="false" outlineLevel="0" collapsed="false">
      <c r="A73" s="5" t="s">
        <v>17</v>
      </c>
      <c r="B73" s="3" t="s">
        <v>285</v>
      </c>
      <c r="C73" s="5" t="s">
        <v>132</v>
      </c>
      <c r="D73" s="3" t="s">
        <v>133</v>
      </c>
      <c r="E73" s="3" t="s">
        <v>226</v>
      </c>
    </row>
    <row r="74" customFormat="false" ht="23.85" hidden="false" customHeight="false" outlineLevel="0" collapsed="false">
      <c r="A74" s="5" t="s">
        <v>17</v>
      </c>
      <c r="B74" s="3" t="s">
        <v>286</v>
      </c>
      <c r="C74" s="5" t="s">
        <v>129</v>
      </c>
      <c r="D74" s="3" t="s">
        <v>130</v>
      </c>
      <c r="E74" s="3" t="s">
        <v>233</v>
      </c>
    </row>
    <row r="75" customFormat="false" ht="23.85" hidden="false" customHeight="false" outlineLevel="0" collapsed="false">
      <c r="A75" s="5" t="s">
        <v>17</v>
      </c>
      <c r="B75" s="3" t="s">
        <v>287</v>
      </c>
      <c r="C75" s="5" t="s">
        <v>288</v>
      </c>
      <c r="D75" s="3" t="s">
        <v>289</v>
      </c>
      <c r="E75" s="3" t="s">
        <v>290</v>
      </c>
    </row>
    <row r="76" customFormat="false" ht="46.25" hidden="false" customHeight="false" outlineLevel="0" collapsed="false">
      <c r="A76" s="5" t="s">
        <v>23</v>
      </c>
      <c r="B76" s="3" t="s">
        <v>291</v>
      </c>
      <c r="C76" s="5" t="s">
        <v>292</v>
      </c>
      <c r="D76" s="3" t="s">
        <v>293</v>
      </c>
      <c r="E76" s="3" t="s">
        <v>145</v>
      </c>
    </row>
    <row r="77" customFormat="false" ht="15" hidden="false" customHeight="false" outlineLevel="0" collapsed="false">
      <c r="A77" s="5" t="s">
        <v>23</v>
      </c>
      <c r="B77" s="3" t="s">
        <v>294</v>
      </c>
      <c r="C77" s="5" t="s">
        <v>60</v>
      </c>
      <c r="D77" s="3" t="s">
        <v>61</v>
      </c>
      <c r="E77" s="3" t="s">
        <v>155</v>
      </c>
    </row>
    <row r="78" customFormat="false" ht="23.85" hidden="false" customHeight="false" outlineLevel="0" collapsed="false">
      <c r="A78" s="5" t="s">
        <v>23</v>
      </c>
      <c r="B78" s="3" t="s">
        <v>295</v>
      </c>
      <c r="C78" s="5" t="s">
        <v>296</v>
      </c>
      <c r="D78" s="3" t="s">
        <v>297</v>
      </c>
      <c r="E78" s="3" t="s">
        <v>155</v>
      </c>
    </row>
    <row r="79" customFormat="false" ht="23.85" hidden="false" customHeight="false" outlineLevel="0" collapsed="false">
      <c r="A79" s="5" t="s">
        <v>23</v>
      </c>
      <c r="B79" s="3" t="s">
        <v>298</v>
      </c>
      <c r="C79" s="5" t="s">
        <v>299</v>
      </c>
      <c r="D79" s="3" t="s">
        <v>300</v>
      </c>
      <c r="E79" s="3" t="s">
        <v>155</v>
      </c>
    </row>
    <row r="80" customFormat="false" ht="23.85" hidden="false" customHeight="false" outlineLevel="0" collapsed="false">
      <c r="A80" s="5" t="s">
        <v>23</v>
      </c>
      <c r="B80" s="3" t="s">
        <v>301</v>
      </c>
      <c r="C80" s="5" t="s">
        <v>302</v>
      </c>
      <c r="D80" s="3" t="s">
        <v>303</v>
      </c>
      <c r="E80" s="3" t="s">
        <v>249</v>
      </c>
    </row>
    <row r="81" customFormat="false" ht="23.85" hidden="false" customHeight="false" outlineLevel="0" collapsed="false">
      <c r="A81" s="5" t="s">
        <v>23</v>
      </c>
      <c r="B81" s="3" t="s">
        <v>304</v>
      </c>
      <c r="C81" s="5" t="s">
        <v>305</v>
      </c>
      <c r="D81" s="3" t="s">
        <v>306</v>
      </c>
      <c r="E81" s="3" t="s">
        <v>165</v>
      </c>
    </row>
    <row r="82" customFormat="false" ht="23.85" hidden="false" customHeight="false" outlineLevel="0" collapsed="false">
      <c r="A82" s="5" t="s">
        <v>23</v>
      </c>
      <c r="B82" s="3" t="s">
        <v>307</v>
      </c>
      <c r="C82" s="5" t="s">
        <v>308</v>
      </c>
      <c r="D82" s="3" t="s">
        <v>309</v>
      </c>
      <c r="E82" s="3" t="s">
        <v>165</v>
      </c>
    </row>
    <row r="83" customFormat="false" ht="23.85" hidden="false" customHeight="false" outlineLevel="0" collapsed="false">
      <c r="A83" s="5" t="s">
        <v>23</v>
      </c>
      <c r="B83" s="3" t="s">
        <v>310</v>
      </c>
      <c r="C83" s="5" t="s">
        <v>69</v>
      </c>
      <c r="D83" s="3" t="s">
        <v>70</v>
      </c>
      <c r="E83" s="3" t="s">
        <v>172</v>
      </c>
    </row>
    <row r="84" customFormat="false" ht="23.85" hidden="false" customHeight="false" outlineLevel="0" collapsed="false">
      <c r="A84" s="5" t="s">
        <v>23</v>
      </c>
      <c r="B84" s="3" t="s">
        <v>311</v>
      </c>
      <c r="C84" s="5" t="s">
        <v>312</v>
      </c>
      <c r="D84" s="3" t="s">
        <v>313</v>
      </c>
      <c r="E84" s="3" t="s">
        <v>172</v>
      </c>
    </row>
    <row r="85" customFormat="false" ht="23.85" hidden="false" customHeight="false" outlineLevel="0" collapsed="false">
      <c r="A85" s="5" t="s">
        <v>23</v>
      </c>
      <c r="B85" s="3" t="s">
        <v>314</v>
      </c>
      <c r="C85" s="5" t="s">
        <v>169</v>
      </c>
      <c r="D85" s="3" t="s">
        <v>170</v>
      </c>
      <c r="E85" s="3" t="s">
        <v>172</v>
      </c>
    </row>
    <row r="86" customFormat="false" ht="23.85" hidden="false" customHeight="false" outlineLevel="0" collapsed="false">
      <c r="A86" s="5" t="s">
        <v>23</v>
      </c>
      <c r="B86" s="3" t="s">
        <v>315</v>
      </c>
      <c r="C86" s="5" t="s">
        <v>259</v>
      </c>
      <c r="D86" s="3" t="s">
        <v>260</v>
      </c>
      <c r="E86" s="3" t="s">
        <v>175</v>
      </c>
    </row>
    <row r="87" customFormat="false" ht="23.85" hidden="false" customHeight="false" outlineLevel="0" collapsed="false">
      <c r="A87" s="5" t="s">
        <v>23</v>
      </c>
      <c r="B87" s="3" t="s">
        <v>316</v>
      </c>
      <c r="C87" s="5" t="s">
        <v>317</v>
      </c>
      <c r="D87" s="3" t="s">
        <v>318</v>
      </c>
      <c r="E87" s="3" t="s">
        <v>175</v>
      </c>
    </row>
    <row r="88" customFormat="false" ht="23.85" hidden="false" customHeight="false" outlineLevel="0" collapsed="false">
      <c r="A88" s="5" t="s">
        <v>23</v>
      </c>
      <c r="B88" s="3" t="s">
        <v>319</v>
      </c>
      <c r="C88" s="5" t="s">
        <v>81</v>
      </c>
      <c r="D88" s="3" t="s">
        <v>82</v>
      </c>
      <c r="E88" s="3" t="s">
        <v>180</v>
      </c>
    </row>
    <row r="89" customFormat="false" ht="35.05" hidden="false" customHeight="false" outlineLevel="0" collapsed="false">
      <c r="A89" s="5" t="s">
        <v>23</v>
      </c>
      <c r="B89" s="3" t="s">
        <v>320</v>
      </c>
      <c r="C89" s="5" t="s">
        <v>210</v>
      </c>
      <c r="D89" s="3" t="s">
        <v>211</v>
      </c>
      <c r="E89" s="3" t="s">
        <v>180</v>
      </c>
    </row>
    <row r="90" customFormat="false" ht="23.85" hidden="false" customHeight="false" outlineLevel="0" collapsed="false">
      <c r="A90" s="5" t="s">
        <v>23</v>
      </c>
      <c r="B90" s="3" t="s">
        <v>321</v>
      </c>
      <c r="C90" s="5" t="s">
        <v>322</v>
      </c>
      <c r="D90" s="3" t="s">
        <v>323</v>
      </c>
      <c r="E90" s="3" t="s">
        <v>196</v>
      </c>
    </row>
    <row r="91" customFormat="false" ht="35.05" hidden="false" customHeight="false" outlineLevel="0" collapsed="false">
      <c r="A91" s="5" t="s">
        <v>23</v>
      </c>
      <c r="B91" s="3" t="s">
        <v>324</v>
      </c>
      <c r="C91" s="5" t="s">
        <v>325</v>
      </c>
      <c r="D91" s="3" t="s">
        <v>326</v>
      </c>
      <c r="E91" s="3" t="s">
        <v>196</v>
      </c>
    </row>
    <row r="92" customFormat="false" ht="23.85" hidden="false" customHeight="false" outlineLevel="0" collapsed="false">
      <c r="A92" s="5" t="s">
        <v>23</v>
      </c>
      <c r="B92" s="3" t="s">
        <v>327</v>
      </c>
      <c r="C92" s="5" t="s">
        <v>239</v>
      </c>
      <c r="D92" s="3" t="s">
        <v>240</v>
      </c>
      <c r="E92" s="3" t="s">
        <v>207</v>
      </c>
    </row>
    <row r="93" customFormat="false" ht="15" hidden="false" customHeight="false" outlineLevel="0" collapsed="false">
      <c r="A93" s="5" t="s">
        <v>23</v>
      </c>
      <c r="B93" s="3" t="s">
        <v>328</v>
      </c>
      <c r="C93" s="5" t="s">
        <v>93</v>
      </c>
      <c r="D93" s="3" t="s">
        <v>94</v>
      </c>
      <c r="E93" s="3" t="s">
        <v>207</v>
      </c>
    </row>
    <row r="94" customFormat="false" ht="35.05" hidden="false" customHeight="false" outlineLevel="0" collapsed="false">
      <c r="A94" s="5" t="s">
        <v>23</v>
      </c>
      <c r="B94" s="3" t="s">
        <v>329</v>
      </c>
      <c r="C94" s="5" t="s">
        <v>205</v>
      </c>
      <c r="D94" s="3" t="s">
        <v>206</v>
      </c>
      <c r="E94" s="3" t="s">
        <v>207</v>
      </c>
    </row>
    <row r="95" customFormat="false" ht="35.05" hidden="false" customHeight="false" outlineLevel="0" collapsed="false">
      <c r="A95" s="5" t="s">
        <v>23</v>
      </c>
      <c r="B95" s="3" t="s">
        <v>330</v>
      </c>
      <c r="C95" s="5" t="s">
        <v>93</v>
      </c>
      <c r="D95" s="3" t="s">
        <v>94</v>
      </c>
      <c r="E95" s="3" t="s">
        <v>207</v>
      </c>
    </row>
    <row r="96" customFormat="false" ht="23.85" hidden="false" customHeight="false" outlineLevel="0" collapsed="false">
      <c r="A96" s="5" t="s">
        <v>23</v>
      </c>
      <c r="B96" s="3" t="s">
        <v>331</v>
      </c>
      <c r="C96" s="5" t="s">
        <v>72</v>
      </c>
      <c r="D96" s="3" t="s">
        <v>73</v>
      </c>
      <c r="E96" s="3" t="s">
        <v>215</v>
      </c>
    </row>
    <row r="97" customFormat="false" ht="23.85" hidden="false" customHeight="false" outlineLevel="0" collapsed="false">
      <c r="A97" s="5" t="s">
        <v>23</v>
      </c>
      <c r="B97" s="3" t="s">
        <v>332</v>
      </c>
      <c r="C97" s="5" t="s">
        <v>333</v>
      </c>
      <c r="D97" s="3" t="s">
        <v>334</v>
      </c>
      <c r="E97" s="3" t="s">
        <v>215</v>
      </c>
    </row>
    <row r="98" customFormat="false" ht="35.05" hidden="false" customHeight="false" outlineLevel="0" collapsed="false">
      <c r="A98" s="5" t="s">
        <v>23</v>
      </c>
      <c r="B98" s="3" t="s">
        <v>335</v>
      </c>
      <c r="C98" s="5" t="s">
        <v>266</v>
      </c>
      <c r="D98" s="3" t="s">
        <v>267</v>
      </c>
      <c r="E98" s="3" t="s">
        <v>220</v>
      </c>
    </row>
    <row r="99" customFormat="false" ht="23.85" hidden="false" customHeight="false" outlineLevel="0" collapsed="false">
      <c r="A99" s="5" t="s">
        <v>23</v>
      </c>
      <c r="B99" s="3" t="s">
        <v>336</v>
      </c>
      <c r="C99" s="5" t="s">
        <v>337</v>
      </c>
      <c r="D99" s="3" t="s">
        <v>338</v>
      </c>
      <c r="E99" s="3" t="s">
        <v>220</v>
      </c>
    </row>
    <row r="100" customFormat="false" ht="35.05" hidden="false" customHeight="false" outlineLevel="0" collapsed="false">
      <c r="A100" s="5" t="s">
        <v>23</v>
      </c>
      <c r="B100" s="3" t="s">
        <v>339</v>
      </c>
      <c r="C100" s="5" t="s">
        <v>63</v>
      </c>
      <c r="D100" s="3" t="s">
        <v>64</v>
      </c>
      <c r="E100" s="3" t="s">
        <v>226</v>
      </c>
    </row>
    <row r="101" customFormat="false" ht="23.85" hidden="false" customHeight="false" outlineLevel="0" collapsed="false">
      <c r="A101" s="5" t="s">
        <v>23</v>
      </c>
      <c r="B101" s="3" t="s">
        <v>340</v>
      </c>
      <c r="C101" s="5" t="s">
        <v>81</v>
      </c>
      <c r="D101" s="3" t="s">
        <v>82</v>
      </c>
      <c r="E101" s="3" t="s">
        <v>233</v>
      </c>
    </row>
    <row r="102" customFormat="false" ht="35.05" hidden="false" customHeight="false" outlineLevel="0" collapsed="false">
      <c r="A102" s="5" t="s">
        <v>23</v>
      </c>
      <c r="B102" s="3" t="s">
        <v>341</v>
      </c>
      <c r="C102" s="5" t="s">
        <v>342</v>
      </c>
      <c r="D102" s="3" t="s">
        <v>343</v>
      </c>
      <c r="E102" s="3" t="s">
        <v>290</v>
      </c>
    </row>
    <row r="103" customFormat="false" ht="23.85" hidden="false" customHeight="false" outlineLevel="0" collapsed="false">
      <c r="A103" s="5" t="s">
        <v>28</v>
      </c>
      <c r="B103" s="3" t="s">
        <v>344</v>
      </c>
      <c r="C103" s="5" t="s">
        <v>54</v>
      </c>
      <c r="D103" s="3" t="s">
        <v>55</v>
      </c>
      <c r="E103" s="3" t="s">
        <v>145</v>
      </c>
    </row>
    <row r="104" customFormat="false" ht="35.05" hidden="false" customHeight="false" outlineLevel="0" collapsed="false">
      <c r="A104" s="5" t="s">
        <v>28</v>
      </c>
      <c r="B104" s="3" t="s">
        <v>345</v>
      </c>
      <c r="C104" s="5" t="s">
        <v>346</v>
      </c>
      <c r="D104" s="3" t="s">
        <v>347</v>
      </c>
      <c r="E104" s="3" t="s">
        <v>145</v>
      </c>
    </row>
    <row r="105" customFormat="false" ht="23.85" hidden="false" customHeight="false" outlineLevel="0" collapsed="false">
      <c r="A105" s="5" t="s">
        <v>28</v>
      </c>
      <c r="B105" s="3" t="s">
        <v>348</v>
      </c>
      <c r="C105" s="5" t="s">
        <v>60</v>
      </c>
      <c r="D105" s="3" t="s">
        <v>61</v>
      </c>
      <c r="E105" s="3" t="s">
        <v>145</v>
      </c>
    </row>
    <row r="106" customFormat="false" ht="23.85" hidden="false" customHeight="false" outlineLevel="0" collapsed="false">
      <c r="A106" s="5" t="s">
        <v>28</v>
      </c>
      <c r="B106" s="3" t="s">
        <v>349</v>
      </c>
      <c r="C106" s="5" t="s">
        <v>60</v>
      </c>
      <c r="D106" s="3" t="s">
        <v>61</v>
      </c>
      <c r="E106" s="3" t="s">
        <v>155</v>
      </c>
    </row>
    <row r="107" customFormat="false" ht="23.85" hidden="false" customHeight="false" outlineLevel="0" collapsed="false">
      <c r="A107" s="5" t="s">
        <v>28</v>
      </c>
      <c r="B107" s="3" t="s">
        <v>350</v>
      </c>
      <c r="C107" s="5" t="s">
        <v>54</v>
      </c>
      <c r="D107" s="3" t="s">
        <v>55</v>
      </c>
      <c r="E107" s="3" t="s">
        <v>351</v>
      </c>
    </row>
    <row r="108" customFormat="false" ht="23.85" hidden="false" customHeight="false" outlineLevel="0" collapsed="false">
      <c r="A108" s="5" t="s">
        <v>28</v>
      </c>
      <c r="B108" s="3" t="s">
        <v>352</v>
      </c>
      <c r="C108" s="5" t="s">
        <v>54</v>
      </c>
      <c r="D108" s="3" t="s">
        <v>55</v>
      </c>
      <c r="E108" s="3" t="s">
        <v>351</v>
      </c>
    </row>
    <row r="109" customFormat="false" ht="23.85" hidden="false" customHeight="false" outlineLevel="0" collapsed="false">
      <c r="A109" s="5" t="s">
        <v>28</v>
      </c>
      <c r="B109" s="3" t="s">
        <v>353</v>
      </c>
      <c r="C109" s="5" t="s">
        <v>66</v>
      </c>
      <c r="D109" s="3" t="s">
        <v>67</v>
      </c>
      <c r="E109" s="3" t="s">
        <v>165</v>
      </c>
    </row>
    <row r="110" customFormat="false" ht="23.85" hidden="false" customHeight="false" outlineLevel="0" collapsed="false">
      <c r="A110" s="5" t="s">
        <v>28</v>
      </c>
      <c r="B110" s="3" t="s">
        <v>354</v>
      </c>
      <c r="C110" s="5" t="s">
        <v>312</v>
      </c>
      <c r="D110" s="3" t="s">
        <v>313</v>
      </c>
      <c r="E110" s="3" t="s">
        <v>165</v>
      </c>
    </row>
    <row r="111" customFormat="false" ht="23.85" hidden="false" customHeight="false" outlineLevel="0" collapsed="false">
      <c r="A111" s="5" t="s">
        <v>28</v>
      </c>
      <c r="B111" s="3" t="s">
        <v>355</v>
      </c>
      <c r="C111" s="5" t="s">
        <v>69</v>
      </c>
      <c r="D111" s="3" t="s">
        <v>70</v>
      </c>
      <c r="E111" s="3" t="s">
        <v>172</v>
      </c>
    </row>
    <row r="112" customFormat="false" ht="23.85" hidden="false" customHeight="false" outlineLevel="0" collapsed="false">
      <c r="A112" s="5" t="s">
        <v>28</v>
      </c>
      <c r="B112" s="3" t="s">
        <v>356</v>
      </c>
      <c r="C112" s="5" t="s">
        <v>357</v>
      </c>
      <c r="D112" s="3" t="s">
        <v>358</v>
      </c>
      <c r="E112" s="3" t="s">
        <v>172</v>
      </c>
    </row>
    <row r="113" customFormat="false" ht="23.85" hidden="false" customHeight="false" outlineLevel="0" collapsed="false">
      <c r="A113" s="5" t="s">
        <v>28</v>
      </c>
      <c r="B113" s="3" t="s">
        <v>359</v>
      </c>
      <c r="C113" s="5" t="s">
        <v>360</v>
      </c>
      <c r="D113" s="3" t="s">
        <v>361</v>
      </c>
      <c r="E113" s="3" t="s">
        <v>172</v>
      </c>
    </row>
    <row r="114" customFormat="false" ht="35.05" hidden="false" customHeight="false" outlineLevel="0" collapsed="false">
      <c r="A114" s="5" t="s">
        <v>28</v>
      </c>
      <c r="B114" s="3" t="s">
        <v>362</v>
      </c>
      <c r="C114" s="5" t="s">
        <v>363</v>
      </c>
      <c r="D114" s="3" t="s">
        <v>364</v>
      </c>
      <c r="E114" s="3" t="s">
        <v>365</v>
      </c>
    </row>
    <row r="115" customFormat="false" ht="15" hidden="false" customHeight="false" outlineLevel="0" collapsed="false">
      <c r="A115" s="5" t="s">
        <v>28</v>
      </c>
      <c r="B115" s="3" t="s">
        <v>366</v>
      </c>
      <c r="C115" s="5" t="s">
        <v>105</v>
      </c>
      <c r="D115" s="3" t="s">
        <v>106</v>
      </c>
      <c r="E115" s="3" t="s">
        <v>367</v>
      </c>
    </row>
    <row r="116" customFormat="false" ht="23.85" hidden="false" customHeight="false" outlineLevel="0" collapsed="false">
      <c r="A116" s="5" t="s">
        <v>28</v>
      </c>
      <c r="B116" s="3" t="s">
        <v>368</v>
      </c>
      <c r="C116" s="5" t="s">
        <v>105</v>
      </c>
      <c r="D116" s="3" t="s">
        <v>106</v>
      </c>
      <c r="E116" s="3" t="s">
        <v>367</v>
      </c>
    </row>
    <row r="117" customFormat="false" ht="23.85" hidden="false" customHeight="false" outlineLevel="0" collapsed="false">
      <c r="A117" s="5" t="s">
        <v>28</v>
      </c>
      <c r="B117" s="3" t="s">
        <v>369</v>
      </c>
      <c r="C117" s="5" t="s">
        <v>259</v>
      </c>
      <c r="D117" s="3" t="s">
        <v>260</v>
      </c>
      <c r="E117" s="3" t="s">
        <v>175</v>
      </c>
    </row>
    <row r="118" customFormat="false" ht="35.05" hidden="false" customHeight="false" outlineLevel="0" collapsed="false">
      <c r="A118" s="5" t="s">
        <v>28</v>
      </c>
      <c r="B118" s="3" t="s">
        <v>370</v>
      </c>
      <c r="C118" s="5" t="s">
        <v>75</v>
      </c>
      <c r="D118" s="3" t="s">
        <v>76</v>
      </c>
      <c r="E118" s="3" t="s">
        <v>175</v>
      </c>
    </row>
    <row r="119" customFormat="false" ht="23.85" hidden="false" customHeight="false" outlineLevel="0" collapsed="false">
      <c r="A119" s="5" t="s">
        <v>28</v>
      </c>
      <c r="B119" s="3" t="s">
        <v>371</v>
      </c>
      <c r="C119" s="5" t="s">
        <v>75</v>
      </c>
      <c r="D119" s="3" t="s">
        <v>76</v>
      </c>
      <c r="E119" s="3" t="s">
        <v>175</v>
      </c>
    </row>
    <row r="120" customFormat="false" ht="23.85" hidden="false" customHeight="false" outlineLevel="0" collapsed="false">
      <c r="A120" s="5" t="s">
        <v>28</v>
      </c>
      <c r="B120" s="3" t="s">
        <v>372</v>
      </c>
      <c r="C120" s="5" t="s">
        <v>99</v>
      </c>
      <c r="D120" s="3" t="s">
        <v>100</v>
      </c>
      <c r="E120" s="3" t="s">
        <v>207</v>
      </c>
    </row>
    <row r="121" customFormat="false" ht="46.25" hidden="false" customHeight="false" outlineLevel="0" collapsed="false">
      <c r="A121" s="5" t="s">
        <v>28</v>
      </c>
      <c r="B121" s="3" t="s">
        <v>373</v>
      </c>
      <c r="C121" s="5" t="s">
        <v>374</v>
      </c>
      <c r="D121" s="3" t="s">
        <v>375</v>
      </c>
      <c r="E121" s="3" t="s">
        <v>207</v>
      </c>
    </row>
    <row r="122" customFormat="false" ht="23.85" hidden="false" customHeight="false" outlineLevel="0" collapsed="false">
      <c r="A122" s="5" t="s">
        <v>28</v>
      </c>
      <c r="B122" s="3" t="s">
        <v>376</v>
      </c>
      <c r="C122" s="5" t="s">
        <v>377</v>
      </c>
      <c r="D122" s="3" t="s">
        <v>378</v>
      </c>
      <c r="E122" s="3" t="s">
        <v>196</v>
      </c>
    </row>
    <row r="123" customFormat="false" ht="15" hidden="false" customHeight="false" outlineLevel="0" collapsed="false">
      <c r="A123" s="5" t="s">
        <v>28</v>
      </c>
      <c r="B123" s="3" t="s">
        <v>379</v>
      </c>
      <c r="C123" s="5" t="s">
        <v>90</v>
      </c>
      <c r="D123" s="3" t="s">
        <v>91</v>
      </c>
      <c r="E123" s="3" t="s">
        <v>196</v>
      </c>
    </row>
    <row r="124" customFormat="false" ht="23.85" hidden="false" customHeight="false" outlineLevel="0" collapsed="false">
      <c r="A124" s="5" t="s">
        <v>28</v>
      </c>
      <c r="B124" s="3" t="s">
        <v>380</v>
      </c>
      <c r="C124" s="5" t="s">
        <v>87</v>
      </c>
      <c r="D124" s="3" t="s">
        <v>88</v>
      </c>
      <c r="E124" s="3" t="s">
        <v>196</v>
      </c>
    </row>
    <row r="125" customFormat="false" ht="46.25" hidden="false" customHeight="false" outlineLevel="0" collapsed="false">
      <c r="A125" s="5" t="s">
        <v>28</v>
      </c>
      <c r="B125" s="3" t="s">
        <v>381</v>
      </c>
      <c r="C125" s="5" t="s">
        <v>382</v>
      </c>
      <c r="D125" s="3" t="s">
        <v>383</v>
      </c>
      <c r="E125" s="3" t="s">
        <v>196</v>
      </c>
    </row>
    <row r="126" customFormat="false" ht="23.85" hidden="false" customHeight="false" outlineLevel="0" collapsed="false">
      <c r="A126" s="5" t="s">
        <v>28</v>
      </c>
      <c r="B126" s="3" t="s">
        <v>384</v>
      </c>
      <c r="C126" s="5" t="s">
        <v>385</v>
      </c>
      <c r="D126" s="3" t="s">
        <v>386</v>
      </c>
      <c r="E126" s="3" t="s">
        <v>196</v>
      </c>
    </row>
    <row r="127" customFormat="false" ht="23.85" hidden="false" customHeight="false" outlineLevel="0" collapsed="false">
      <c r="A127" s="5" t="s">
        <v>28</v>
      </c>
      <c r="B127" s="3" t="s">
        <v>387</v>
      </c>
      <c r="C127" s="5" t="s">
        <v>93</v>
      </c>
      <c r="D127" s="3" t="s">
        <v>94</v>
      </c>
      <c r="E127" s="3" t="s">
        <v>207</v>
      </c>
    </row>
    <row r="128" customFormat="false" ht="15" hidden="false" customHeight="false" outlineLevel="0" collapsed="false">
      <c r="A128" s="5" t="s">
        <v>28</v>
      </c>
      <c r="B128" s="3" t="s">
        <v>388</v>
      </c>
      <c r="C128" s="5" t="s">
        <v>93</v>
      </c>
      <c r="D128" s="3" t="s">
        <v>94</v>
      </c>
      <c r="E128" s="3" t="s">
        <v>207</v>
      </c>
    </row>
    <row r="129" customFormat="false" ht="35.05" hidden="false" customHeight="false" outlineLevel="0" collapsed="false">
      <c r="A129" s="5" t="s">
        <v>28</v>
      </c>
      <c r="B129" s="3" t="s">
        <v>389</v>
      </c>
      <c r="C129" s="5" t="s">
        <v>390</v>
      </c>
      <c r="D129" s="3" t="s">
        <v>391</v>
      </c>
      <c r="E129" s="3" t="s">
        <v>207</v>
      </c>
    </row>
    <row r="130" customFormat="false" ht="23.85" hidden="false" customHeight="false" outlineLevel="0" collapsed="false">
      <c r="A130" s="5" t="s">
        <v>28</v>
      </c>
      <c r="B130" s="3" t="s">
        <v>392</v>
      </c>
      <c r="C130" s="5" t="s">
        <v>96</v>
      </c>
      <c r="D130" s="3" t="s">
        <v>97</v>
      </c>
      <c r="E130" s="3" t="s">
        <v>207</v>
      </c>
    </row>
    <row r="131" customFormat="false" ht="15" hidden="false" customHeight="false" outlineLevel="0" collapsed="false">
      <c r="A131" s="5" t="s">
        <v>28</v>
      </c>
      <c r="B131" s="3" t="s">
        <v>393</v>
      </c>
      <c r="C131" s="5" t="s">
        <v>72</v>
      </c>
      <c r="D131" s="3" t="s">
        <v>73</v>
      </c>
      <c r="E131" s="3" t="s">
        <v>215</v>
      </c>
    </row>
    <row r="132" customFormat="false" ht="35.05" hidden="false" customHeight="false" outlineLevel="0" collapsed="false">
      <c r="A132" s="5" t="s">
        <v>28</v>
      </c>
      <c r="B132" s="3" t="s">
        <v>394</v>
      </c>
      <c r="C132" s="5" t="s">
        <v>395</v>
      </c>
      <c r="D132" s="3" t="s">
        <v>396</v>
      </c>
      <c r="E132" s="3" t="s">
        <v>215</v>
      </c>
    </row>
    <row r="133" customFormat="false" ht="23.85" hidden="false" customHeight="false" outlineLevel="0" collapsed="false">
      <c r="A133" s="5" t="s">
        <v>28</v>
      </c>
      <c r="B133" s="3" t="s">
        <v>397</v>
      </c>
      <c r="C133" s="5" t="s">
        <v>398</v>
      </c>
      <c r="D133" s="3" t="s">
        <v>399</v>
      </c>
      <c r="E133" s="3" t="s">
        <v>215</v>
      </c>
    </row>
    <row r="134" customFormat="false" ht="23.85" hidden="false" customHeight="false" outlineLevel="0" collapsed="false">
      <c r="A134" s="5" t="s">
        <v>28</v>
      </c>
      <c r="B134" s="3" t="s">
        <v>400</v>
      </c>
      <c r="C134" s="5" t="s">
        <v>401</v>
      </c>
      <c r="D134" s="3" t="s">
        <v>402</v>
      </c>
      <c r="E134" s="3" t="s">
        <v>226</v>
      </c>
    </row>
    <row r="135" customFormat="false" ht="23.85" hidden="false" customHeight="false" outlineLevel="0" collapsed="false">
      <c r="A135" s="5" t="s">
        <v>28</v>
      </c>
      <c r="B135" s="3" t="s">
        <v>403</v>
      </c>
      <c r="C135" s="5" t="s">
        <v>63</v>
      </c>
      <c r="D135" s="3" t="s">
        <v>64</v>
      </c>
      <c r="E135" s="3" t="s">
        <v>226</v>
      </c>
    </row>
    <row r="136" customFormat="false" ht="15" hidden="false" customHeight="false" outlineLevel="0" collapsed="false">
      <c r="A136" s="5" t="s">
        <v>28</v>
      </c>
      <c r="B136" s="3" t="s">
        <v>404</v>
      </c>
      <c r="C136" s="5" t="s">
        <v>129</v>
      </c>
      <c r="D136" s="3" t="s">
        <v>130</v>
      </c>
      <c r="E136" s="3" t="s">
        <v>290</v>
      </c>
    </row>
    <row r="137" customFormat="false" ht="15" hidden="false" customHeight="false" outlineLevel="0" collapsed="false">
      <c r="A137" s="5" t="s">
        <v>28</v>
      </c>
      <c r="B137" s="3" t="s">
        <v>405</v>
      </c>
      <c r="C137" s="5" t="s">
        <v>111</v>
      </c>
      <c r="D137" s="3" t="s">
        <v>112</v>
      </c>
      <c r="E137" s="3" t="s">
        <v>290</v>
      </c>
    </row>
    <row r="138" customFormat="false" ht="23.85" hidden="false" customHeight="false" outlineLevel="0" collapsed="false">
      <c r="A138" s="5" t="s">
        <v>28</v>
      </c>
      <c r="B138" s="3" t="s">
        <v>406</v>
      </c>
      <c r="C138" s="5" t="s">
        <v>111</v>
      </c>
      <c r="D138" s="3" t="s">
        <v>112</v>
      </c>
      <c r="E138" s="3" t="s">
        <v>290</v>
      </c>
    </row>
    <row r="139" customFormat="false" ht="15" hidden="false" customHeight="false" outlineLevel="0" collapsed="false">
      <c r="A139" s="5" t="s">
        <v>28</v>
      </c>
      <c r="B139" s="3" t="s">
        <v>407</v>
      </c>
      <c r="C139" s="5" t="s">
        <v>129</v>
      </c>
      <c r="D139" s="3" t="s">
        <v>130</v>
      </c>
      <c r="E139" s="3" t="s">
        <v>290</v>
      </c>
    </row>
    <row r="140" customFormat="false" ht="15" hidden="false" customHeight="false" outlineLevel="0" collapsed="false">
      <c r="A140" s="5" t="s">
        <v>28</v>
      </c>
      <c r="B140" s="3" t="s">
        <v>408</v>
      </c>
      <c r="C140" s="5" t="s">
        <v>135</v>
      </c>
      <c r="D140" s="3" t="s">
        <v>136</v>
      </c>
      <c r="E140" s="3" t="s">
        <v>233</v>
      </c>
    </row>
    <row r="141" customFormat="false" ht="23.85" hidden="false" customHeight="false" outlineLevel="0" collapsed="false">
      <c r="A141" s="5" t="s">
        <v>34</v>
      </c>
      <c r="B141" s="3" t="s">
        <v>409</v>
      </c>
      <c r="C141" s="5" t="s">
        <v>410</v>
      </c>
      <c r="D141" s="3" t="s">
        <v>411</v>
      </c>
      <c r="E141" s="3" t="s">
        <v>412</v>
      </c>
    </row>
    <row r="142" customFormat="false" ht="23.85" hidden="false" customHeight="false" outlineLevel="0" collapsed="false">
      <c r="A142" s="5" t="s">
        <v>34</v>
      </c>
      <c r="B142" s="3" t="s">
        <v>413</v>
      </c>
      <c r="C142" s="5" t="s">
        <v>123</v>
      </c>
      <c r="D142" s="3" t="s">
        <v>124</v>
      </c>
      <c r="E142" s="3" t="s">
        <v>412</v>
      </c>
    </row>
    <row r="143" customFormat="false" ht="23.85" hidden="false" customHeight="false" outlineLevel="0" collapsed="false">
      <c r="A143" s="5" t="s">
        <v>34</v>
      </c>
      <c r="B143" s="3" t="s">
        <v>414</v>
      </c>
      <c r="C143" s="5" t="s">
        <v>415</v>
      </c>
      <c r="D143" s="3" t="s">
        <v>416</v>
      </c>
      <c r="E143" s="3" t="s">
        <v>412</v>
      </c>
    </row>
    <row r="144" customFormat="false" ht="23.85" hidden="false" customHeight="false" outlineLevel="0" collapsed="false">
      <c r="A144" s="5" t="s">
        <v>34</v>
      </c>
      <c r="B144" s="3" t="s">
        <v>417</v>
      </c>
      <c r="C144" s="5" t="s">
        <v>418</v>
      </c>
      <c r="D144" s="3" t="s">
        <v>419</v>
      </c>
      <c r="E144" s="3" t="s">
        <v>412</v>
      </c>
    </row>
    <row r="145" customFormat="false" ht="23.85" hidden="false" customHeight="false" outlineLevel="0" collapsed="false">
      <c r="A145" s="5" t="s">
        <v>34</v>
      </c>
      <c r="B145" s="3" t="s">
        <v>420</v>
      </c>
      <c r="C145" s="5" t="s">
        <v>421</v>
      </c>
      <c r="D145" s="3" t="s">
        <v>422</v>
      </c>
      <c r="E145" s="3" t="s">
        <v>423</v>
      </c>
    </row>
    <row r="146" customFormat="false" ht="23.85" hidden="false" customHeight="false" outlineLevel="0" collapsed="false">
      <c r="A146" s="5" t="s">
        <v>34</v>
      </c>
      <c r="B146" s="3" t="s">
        <v>424</v>
      </c>
      <c r="C146" s="5" t="s">
        <v>266</v>
      </c>
      <c r="D146" s="3" t="s">
        <v>267</v>
      </c>
      <c r="E146" s="3" t="s">
        <v>423</v>
      </c>
    </row>
    <row r="147" customFormat="false" ht="23.85" hidden="false" customHeight="false" outlineLevel="0" collapsed="false">
      <c r="A147" s="5" t="s">
        <v>34</v>
      </c>
      <c r="B147" s="3" t="s">
        <v>425</v>
      </c>
      <c r="C147" s="5" t="s">
        <v>143</v>
      </c>
      <c r="D147" s="3" t="s">
        <v>144</v>
      </c>
      <c r="E147" s="3" t="s">
        <v>145</v>
      </c>
    </row>
    <row r="148" customFormat="false" ht="35.05" hidden="false" customHeight="false" outlineLevel="0" collapsed="false">
      <c r="A148" s="5" t="s">
        <v>34</v>
      </c>
      <c r="B148" s="3" t="s">
        <v>426</v>
      </c>
      <c r="C148" s="5" t="s">
        <v>149</v>
      </c>
      <c r="D148" s="3" t="s">
        <v>150</v>
      </c>
      <c r="E148" s="3" t="s">
        <v>145</v>
      </c>
    </row>
    <row r="149" customFormat="false" ht="23.85" hidden="false" customHeight="false" outlineLevel="0" collapsed="false">
      <c r="A149" s="5" t="s">
        <v>34</v>
      </c>
      <c r="B149" s="3" t="s">
        <v>427</v>
      </c>
      <c r="C149" s="5" t="s">
        <v>143</v>
      </c>
      <c r="D149" s="3" t="s">
        <v>144</v>
      </c>
      <c r="E149" s="3" t="s">
        <v>145</v>
      </c>
    </row>
    <row r="150" customFormat="false" ht="23.85" hidden="false" customHeight="false" outlineLevel="0" collapsed="false">
      <c r="A150" s="5" t="s">
        <v>34</v>
      </c>
      <c r="B150" s="3" t="s">
        <v>428</v>
      </c>
      <c r="C150" s="5" t="s">
        <v>429</v>
      </c>
      <c r="D150" s="3" t="s">
        <v>430</v>
      </c>
      <c r="E150" s="3" t="s">
        <v>145</v>
      </c>
    </row>
    <row r="151" customFormat="false" ht="15" hidden="false" customHeight="false" outlineLevel="0" collapsed="false">
      <c r="A151" s="5" t="s">
        <v>34</v>
      </c>
      <c r="B151" s="3" t="s">
        <v>431</v>
      </c>
      <c r="C151" s="5" t="s">
        <v>84</v>
      </c>
      <c r="D151" s="3" t="s">
        <v>85</v>
      </c>
      <c r="E151" s="3" t="s">
        <v>145</v>
      </c>
    </row>
    <row r="152" customFormat="false" ht="35.05" hidden="false" customHeight="false" outlineLevel="0" collapsed="false">
      <c r="A152" s="5" t="s">
        <v>34</v>
      </c>
      <c r="B152" s="3" t="s">
        <v>432</v>
      </c>
      <c r="C152" s="5" t="s">
        <v>66</v>
      </c>
      <c r="D152" s="3" t="s">
        <v>67</v>
      </c>
      <c r="E152" s="3" t="s">
        <v>165</v>
      </c>
    </row>
    <row r="153" customFormat="false" ht="23.85" hidden="false" customHeight="false" outlineLevel="0" collapsed="false">
      <c r="A153" s="5" t="s">
        <v>34</v>
      </c>
      <c r="B153" s="3" t="s">
        <v>433</v>
      </c>
      <c r="C153" s="5" t="s">
        <v>163</v>
      </c>
      <c r="D153" s="3" t="s">
        <v>164</v>
      </c>
      <c r="E153" s="3" t="s">
        <v>165</v>
      </c>
    </row>
    <row r="154" customFormat="false" ht="23.85" hidden="false" customHeight="false" outlineLevel="0" collapsed="false">
      <c r="A154" s="5" t="s">
        <v>34</v>
      </c>
      <c r="B154" s="3" t="s">
        <v>434</v>
      </c>
      <c r="C154" s="5" t="s">
        <v>66</v>
      </c>
      <c r="D154" s="3" t="s">
        <v>67</v>
      </c>
      <c r="E154" s="3" t="s">
        <v>165</v>
      </c>
    </row>
    <row r="155" customFormat="false" ht="23.85" hidden="false" customHeight="false" outlineLevel="0" collapsed="false">
      <c r="A155" s="5" t="s">
        <v>34</v>
      </c>
      <c r="B155" s="3" t="s">
        <v>435</v>
      </c>
      <c r="C155" s="5" t="s">
        <v>108</v>
      </c>
      <c r="D155" s="3" t="s">
        <v>109</v>
      </c>
      <c r="E155" s="3" t="s">
        <v>436</v>
      </c>
    </row>
    <row r="156" customFormat="false" ht="23.85" hidden="false" customHeight="false" outlineLevel="0" collapsed="false">
      <c r="A156" s="5" t="s">
        <v>34</v>
      </c>
      <c r="B156" s="3" t="s">
        <v>437</v>
      </c>
      <c r="C156" s="5" t="s">
        <v>108</v>
      </c>
      <c r="D156" s="3" t="s">
        <v>109</v>
      </c>
      <c r="E156" s="3" t="s">
        <v>436</v>
      </c>
    </row>
    <row r="157" customFormat="false" ht="23.85" hidden="false" customHeight="false" outlineLevel="0" collapsed="false">
      <c r="A157" s="5" t="s">
        <v>34</v>
      </c>
      <c r="B157" s="3" t="s">
        <v>438</v>
      </c>
      <c r="C157" s="5" t="s">
        <v>108</v>
      </c>
      <c r="D157" s="3" t="s">
        <v>109</v>
      </c>
      <c r="E157" s="3" t="s">
        <v>436</v>
      </c>
    </row>
    <row r="158" customFormat="false" ht="35.05" hidden="false" customHeight="false" outlineLevel="0" collapsed="false">
      <c r="A158" s="5" t="s">
        <v>34</v>
      </c>
      <c r="B158" s="3" t="s">
        <v>439</v>
      </c>
      <c r="C158" s="5" t="s">
        <v>120</v>
      </c>
      <c r="D158" s="3" t="s">
        <v>121</v>
      </c>
      <c r="E158" s="3" t="s">
        <v>440</v>
      </c>
    </row>
    <row r="159" customFormat="false" ht="23.85" hidden="false" customHeight="false" outlineLevel="0" collapsed="false">
      <c r="A159" s="5" t="s">
        <v>34</v>
      </c>
      <c r="B159" s="3" t="s">
        <v>441</v>
      </c>
      <c r="C159" s="5" t="s">
        <v>442</v>
      </c>
      <c r="D159" s="3" t="s">
        <v>443</v>
      </c>
      <c r="E159" s="3" t="s">
        <v>440</v>
      </c>
    </row>
    <row r="160" customFormat="false" ht="23.85" hidden="false" customHeight="false" outlineLevel="0" collapsed="false">
      <c r="A160" s="5" t="s">
        <v>34</v>
      </c>
      <c r="B160" s="3" t="s">
        <v>444</v>
      </c>
      <c r="C160" s="5" t="s">
        <v>445</v>
      </c>
      <c r="D160" s="3" t="s">
        <v>446</v>
      </c>
      <c r="E160" s="3" t="s">
        <v>440</v>
      </c>
    </row>
    <row r="161" customFormat="false" ht="15" hidden="false" customHeight="false" outlineLevel="0" collapsed="false">
      <c r="A161" s="5" t="s">
        <v>34</v>
      </c>
      <c r="B161" s="3" t="s">
        <v>447</v>
      </c>
      <c r="C161" s="5" t="s">
        <v>87</v>
      </c>
      <c r="D161" s="3" t="s">
        <v>88</v>
      </c>
      <c r="E161" s="3" t="s">
        <v>440</v>
      </c>
    </row>
    <row r="162" customFormat="false" ht="15" hidden="false" customHeight="false" outlineLevel="0" collapsed="false">
      <c r="A162" s="5" t="s">
        <v>34</v>
      </c>
      <c r="B162" s="3" t="s">
        <v>448</v>
      </c>
      <c r="C162" s="5" t="s">
        <v>123</v>
      </c>
      <c r="D162" s="3" t="s">
        <v>124</v>
      </c>
      <c r="E162" s="3" t="s">
        <v>440</v>
      </c>
    </row>
    <row r="163" customFormat="false" ht="23.85" hidden="false" customHeight="false" outlineLevel="0" collapsed="false">
      <c r="A163" s="5" t="s">
        <v>34</v>
      </c>
      <c r="B163" s="3" t="s">
        <v>449</v>
      </c>
      <c r="C163" s="5" t="s">
        <v>450</v>
      </c>
      <c r="D163" s="3" t="s">
        <v>451</v>
      </c>
      <c r="E163" s="3" t="s">
        <v>452</v>
      </c>
    </row>
    <row r="164" customFormat="false" ht="15" hidden="false" customHeight="false" outlineLevel="0" collapsed="false">
      <c r="A164" s="5" t="s">
        <v>34</v>
      </c>
      <c r="B164" s="3" t="s">
        <v>453</v>
      </c>
      <c r="C164" s="5" t="s">
        <v>123</v>
      </c>
      <c r="D164" s="3" t="s">
        <v>124</v>
      </c>
      <c r="E164" s="3" t="s">
        <v>452</v>
      </c>
    </row>
    <row r="165" customFormat="false" ht="23.85" hidden="false" customHeight="false" outlineLevel="0" collapsed="false">
      <c r="A165" s="5" t="s">
        <v>34</v>
      </c>
      <c r="B165" s="3" t="s">
        <v>454</v>
      </c>
      <c r="C165" s="5" t="s">
        <v>450</v>
      </c>
      <c r="D165" s="3" t="s">
        <v>451</v>
      </c>
      <c r="E165" s="3" t="s">
        <v>452</v>
      </c>
    </row>
    <row r="166" customFormat="false" ht="23.85" hidden="false" customHeight="false" outlineLevel="0" collapsed="false">
      <c r="A166" s="5" t="s">
        <v>34</v>
      </c>
      <c r="B166" s="3" t="s">
        <v>455</v>
      </c>
      <c r="C166" s="5" t="s">
        <v>123</v>
      </c>
      <c r="D166" s="3" t="s">
        <v>124</v>
      </c>
      <c r="E166" s="3" t="s">
        <v>452</v>
      </c>
    </row>
    <row r="167" customFormat="false" ht="15" hidden="false" customHeight="false" outlineLevel="0" collapsed="false">
      <c r="A167" s="5" t="s">
        <v>34</v>
      </c>
      <c r="B167" s="3" t="s">
        <v>456</v>
      </c>
      <c r="C167" s="5" t="s">
        <v>93</v>
      </c>
      <c r="D167" s="3" t="s">
        <v>94</v>
      </c>
      <c r="E167" s="3" t="s">
        <v>207</v>
      </c>
    </row>
    <row r="168" customFormat="false" ht="23.85" hidden="false" customHeight="false" outlineLevel="0" collapsed="false">
      <c r="A168" s="5" t="s">
        <v>34</v>
      </c>
      <c r="B168" s="3" t="s">
        <v>457</v>
      </c>
      <c r="C168" s="5" t="s">
        <v>458</v>
      </c>
      <c r="D168" s="3" t="s">
        <v>459</v>
      </c>
      <c r="E168" s="3" t="s">
        <v>207</v>
      </c>
    </row>
    <row r="169" customFormat="false" ht="15" hidden="false" customHeight="false" outlineLevel="0" collapsed="false">
      <c r="A169" s="5" t="s">
        <v>34</v>
      </c>
      <c r="B169" s="3" t="s">
        <v>460</v>
      </c>
      <c r="C169" s="5" t="s">
        <v>96</v>
      </c>
      <c r="D169" s="3" t="s">
        <v>97</v>
      </c>
      <c r="E169" s="3" t="s">
        <v>207</v>
      </c>
    </row>
    <row r="170" customFormat="false" ht="23.85" hidden="false" customHeight="false" outlineLevel="0" collapsed="false">
      <c r="A170" s="5" t="s">
        <v>34</v>
      </c>
      <c r="B170" s="3" t="s">
        <v>461</v>
      </c>
      <c r="C170" s="5" t="s">
        <v>390</v>
      </c>
      <c r="D170" s="3" t="s">
        <v>391</v>
      </c>
      <c r="E170" s="3" t="s">
        <v>207</v>
      </c>
    </row>
    <row r="171" customFormat="false" ht="23.85" hidden="false" customHeight="false" outlineLevel="0" collapsed="false">
      <c r="A171" s="5" t="s">
        <v>34</v>
      </c>
      <c r="B171" s="3" t="s">
        <v>462</v>
      </c>
      <c r="C171" s="5" t="s">
        <v>63</v>
      </c>
      <c r="D171" s="3" t="s">
        <v>64</v>
      </c>
      <c r="E171" s="3" t="s">
        <v>207</v>
      </c>
    </row>
    <row r="172" customFormat="false" ht="23.85" hidden="false" customHeight="false" outlineLevel="0" collapsed="false">
      <c r="A172" s="5" t="s">
        <v>34</v>
      </c>
      <c r="B172" s="3" t="s">
        <v>463</v>
      </c>
      <c r="C172" s="5" t="s">
        <v>99</v>
      </c>
      <c r="D172" s="3" t="s">
        <v>100</v>
      </c>
      <c r="E172" s="3" t="s">
        <v>464</v>
      </c>
    </row>
    <row r="173" customFormat="false" ht="23.85" hidden="false" customHeight="false" outlineLevel="0" collapsed="false">
      <c r="A173" s="5" t="s">
        <v>34</v>
      </c>
      <c r="B173" s="3" t="s">
        <v>465</v>
      </c>
      <c r="C173" s="5" t="s">
        <v>401</v>
      </c>
      <c r="D173" s="3" t="s">
        <v>402</v>
      </c>
      <c r="E173" s="3" t="s">
        <v>464</v>
      </c>
    </row>
    <row r="174" customFormat="false" ht="23.85" hidden="false" customHeight="false" outlineLevel="0" collapsed="false">
      <c r="A174" s="5" t="s">
        <v>34</v>
      </c>
      <c r="B174" s="3" t="s">
        <v>466</v>
      </c>
      <c r="C174" s="5" t="s">
        <v>467</v>
      </c>
      <c r="D174" s="3" t="s">
        <v>468</v>
      </c>
      <c r="E174" s="3" t="s">
        <v>464</v>
      </c>
    </row>
    <row r="175" customFormat="false" ht="23.85" hidden="false" customHeight="false" outlineLevel="0" collapsed="false">
      <c r="A175" s="5" t="s">
        <v>34</v>
      </c>
      <c r="B175" s="3" t="s">
        <v>469</v>
      </c>
      <c r="C175" s="5" t="s">
        <v>99</v>
      </c>
      <c r="D175" s="3" t="s">
        <v>100</v>
      </c>
      <c r="E175" s="3" t="s">
        <v>464</v>
      </c>
    </row>
    <row r="176" customFormat="false" ht="23.85" hidden="false" customHeight="false" outlineLevel="0" collapsed="false">
      <c r="A176" s="5" t="s">
        <v>34</v>
      </c>
      <c r="B176" s="3" t="s">
        <v>470</v>
      </c>
      <c r="C176" s="5" t="s">
        <v>471</v>
      </c>
      <c r="D176" s="3" t="s">
        <v>472</v>
      </c>
      <c r="E176" s="3" t="s">
        <v>464</v>
      </c>
    </row>
    <row r="177" customFormat="false" ht="23.85" hidden="false" customHeight="false" outlineLevel="0" collapsed="false">
      <c r="A177" s="5" t="s">
        <v>34</v>
      </c>
      <c r="B177" s="3" t="s">
        <v>473</v>
      </c>
      <c r="C177" s="5" t="s">
        <v>126</v>
      </c>
      <c r="D177" s="3" t="s">
        <v>127</v>
      </c>
      <c r="E177" s="3" t="s">
        <v>464</v>
      </c>
    </row>
    <row r="178" customFormat="false" ht="23.85" hidden="false" customHeight="false" outlineLevel="0" collapsed="false">
      <c r="A178" s="5" t="s">
        <v>34</v>
      </c>
      <c r="B178" s="3" t="s">
        <v>474</v>
      </c>
      <c r="C178" s="5" t="s">
        <v>475</v>
      </c>
      <c r="D178" s="3" t="s">
        <v>476</v>
      </c>
      <c r="E178" s="3" t="s">
        <v>464</v>
      </c>
    </row>
    <row r="179" customFormat="false" ht="23.85" hidden="false" customHeight="false" outlineLevel="0" collapsed="false">
      <c r="A179" s="5" t="s">
        <v>34</v>
      </c>
      <c r="B179" s="3" t="s">
        <v>477</v>
      </c>
      <c r="C179" s="5" t="s">
        <v>478</v>
      </c>
      <c r="D179" s="3" t="s">
        <v>479</v>
      </c>
      <c r="E179" s="3" t="s">
        <v>464</v>
      </c>
    </row>
    <row r="180" customFormat="false" ht="15" hidden="false" customHeight="false" outlineLevel="0" collapsed="false">
      <c r="A180" s="5" t="s">
        <v>34</v>
      </c>
      <c r="B180" s="3" t="s">
        <v>480</v>
      </c>
      <c r="C180" s="5" t="s">
        <v>78</v>
      </c>
      <c r="D180" s="3" t="s">
        <v>79</v>
      </c>
      <c r="E180" s="3" t="s">
        <v>290</v>
      </c>
    </row>
    <row r="181" customFormat="false" ht="23.85" hidden="false" customHeight="false" outlineLevel="0" collapsed="false">
      <c r="A181" s="5" t="s">
        <v>34</v>
      </c>
      <c r="B181" s="3" t="s">
        <v>481</v>
      </c>
      <c r="C181" s="5" t="s">
        <v>482</v>
      </c>
      <c r="D181" s="3" t="s">
        <v>483</v>
      </c>
      <c r="E181" s="3" t="s">
        <v>290</v>
      </c>
    </row>
    <row r="182" customFormat="false" ht="35.05" hidden="false" customHeight="false" outlineLevel="0" collapsed="false">
      <c r="A182" s="5" t="s">
        <v>34</v>
      </c>
      <c r="B182" s="3" t="s">
        <v>484</v>
      </c>
      <c r="C182" s="5" t="s">
        <v>114</v>
      </c>
      <c r="D182" s="3" t="s">
        <v>115</v>
      </c>
      <c r="E182" s="3" t="s">
        <v>290</v>
      </c>
    </row>
    <row r="183" customFormat="false" ht="35.05" hidden="false" customHeight="false" outlineLevel="0" collapsed="false">
      <c r="A183" s="5" t="s">
        <v>34</v>
      </c>
      <c r="B183" s="3" t="s">
        <v>485</v>
      </c>
      <c r="C183" s="5" t="s">
        <v>486</v>
      </c>
      <c r="D183" s="3" t="s">
        <v>487</v>
      </c>
      <c r="E183" s="3" t="s">
        <v>290</v>
      </c>
    </row>
    <row r="184" customFormat="false" ht="23.85" hidden="false" customHeight="false" outlineLevel="0" collapsed="false">
      <c r="A184" s="5" t="s">
        <v>34</v>
      </c>
      <c r="B184" s="3" t="s">
        <v>488</v>
      </c>
      <c r="C184" s="5" t="s">
        <v>114</v>
      </c>
      <c r="D184" s="3" t="s">
        <v>115</v>
      </c>
      <c r="E184" s="3" t="s">
        <v>489</v>
      </c>
    </row>
    <row r="185" customFormat="false" ht="23.85" hidden="false" customHeight="false" outlineLevel="0" collapsed="false">
      <c r="A185" s="5" t="s">
        <v>34</v>
      </c>
      <c r="B185" s="3" t="s">
        <v>490</v>
      </c>
      <c r="C185" s="5" t="s">
        <v>415</v>
      </c>
      <c r="D185" s="3" t="s">
        <v>416</v>
      </c>
      <c r="E185" s="3" t="s">
        <v>489</v>
      </c>
    </row>
    <row r="186" customFormat="false" ht="23.85" hidden="false" customHeight="false" outlineLevel="0" collapsed="false">
      <c r="A186" s="5" t="s">
        <v>34</v>
      </c>
      <c r="B186" s="3" t="s">
        <v>491</v>
      </c>
      <c r="C186" s="5" t="s">
        <v>492</v>
      </c>
      <c r="D186" s="3" t="s">
        <v>493</v>
      </c>
      <c r="E186" s="3" t="s">
        <v>489</v>
      </c>
    </row>
    <row r="187" customFormat="false" ht="23.85" hidden="false" customHeight="false" outlineLevel="0" collapsed="false">
      <c r="A187" s="5" t="s">
        <v>34</v>
      </c>
      <c r="B187" s="3" t="s">
        <v>494</v>
      </c>
      <c r="C187" s="5" t="s">
        <v>114</v>
      </c>
      <c r="D187" s="3" t="s">
        <v>115</v>
      </c>
      <c r="E187" s="3" t="s">
        <v>489</v>
      </c>
    </row>
    <row r="188" customFormat="false" ht="23.85" hidden="false" customHeight="false" outlineLevel="0" collapsed="false">
      <c r="A188" s="5" t="s">
        <v>42</v>
      </c>
      <c r="B188" s="3" t="s">
        <v>495</v>
      </c>
      <c r="C188" s="5" t="s">
        <v>126</v>
      </c>
      <c r="D188" s="3" t="s">
        <v>127</v>
      </c>
      <c r="E188" s="3" t="s">
        <v>496</v>
      </c>
    </row>
    <row r="189" customFormat="false" ht="23.85" hidden="false" customHeight="false" outlineLevel="0" collapsed="false">
      <c r="A189" s="5" t="s">
        <v>42</v>
      </c>
      <c r="B189" s="3" t="s">
        <v>497</v>
      </c>
      <c r="C189" s="5" t="s">
        <v>126</v>
      </c>
      <c r="D189" s="3" t="s">
        <v>127</v>
      </c>
      <c r="E189" s="3" t="s">
        <v>496</v>
      </c>
    </row>
    <row r="190" customFormat="false" ht="15" hidden="false" customHeight="false" outlineLevel="0" collapsed="false">
      <c r="A190" s="5" t="s">
        <v>42</v>
      </c>
      <c r="B190" s="3" t="s">
        <v>498</v>
      </c>
      <c r="C190" s="5" t="s">
        <v>126</v>
      </c>
      <c r="D190" s="3" t="s">
        <v>127</v>
      </c>
      <c r="E190" s="3" t="s">
        <v>496</v>
      </c>
    </row>
    <row r="191" customFormat="false" ht="23.85" hidden="false" customHeight="false" outlineLevel="0" collapsed="false">
      <c r="A191" s="5" t="s">
        <v>42</v>
      </c>
      <c r="B191" s="3" t="s">
        <v>499</v>
      </c>
      <c r="C191" s="5" t="s">
        <v>126</v>
      </c>
      <c r="D191" s="3" t="s">
        <v>127</v>
      </c>
      <c r="E191" s="3" t="s">
        <v>496</v>
      </c>
    </row>
    <row r="192" customFormat="false" ht="23.85" hidden="false" customHeight="false" outlineLevel="0" collapsed="false">
      <c r="A192" s="5" t="s">
        <v>42</v>
      </c>
      <c r="B192" s="3" t="s">
        <v>500</v>
      </c>
      <c r="C192" s="5" t="s">
        <v>178</v>
      </c>
      <c r="D192" s="3" t="s">
        <v>179</v>
      </c>
      <c r="E192" s="3" t="s">
        <v>496</v>
      </c>
    </row>
    <row r="193" customFormat="false" ht="23.85" hidden="false" customHeight="false" outlineLevel="0" collapsed="false">
      <c r="A193" s="5" t="s">
        <v>42</v>
      </c>
      <c r="B193" s="3" t="s">
        <v>501</v>
      </c>
      <c r="C193" s="5" t="s">
        <v>178</v>
      </c>
      <c r="D193" s="3" t="s">
        <v>179</v>
      </c>
      <c r="E193" s="3" t="s">
        <v>496</v>
      </c>
    </row>
    <row r="194" customFormat="false" ht="15" hidden="false" customHeight="false" outlineLevel="0" collapsed="false">
      <c r="A194" s="5" t="s">
        <v>42</v>
      </c>
      <c r="B194" s="3" t="s">
        <v>502</v>
      </c>
      <c r="C194" s="5" t="s">
        <v>210</v>
      </c>
      <c r="D194" s="3" t="s">
        <v>211</v>
      </c>
      <c r="E194" s="3" t="s">
        <v>496</v>
      </c>
    </row>
    <row r="195" customFormat="false" ht="23.85" hidden="false" customHeight="false" outlineLevel="0" collapsed="false">
      <c r="A195" s="5" t="s">
        <v>42</v>
      </c>
      <c r="B195" s="3" t="s">
        <v>503</v>
      </c>
      <c r="C195" s="5" t="s">
        <v>504</v>
      </c>
      <c r="D195" s="3" t="s">
        <v>505</v>
      </c>
      <c r="E195" s="3" t="s">
        <v>496</v>
      </c>
    </row>
    <row r="196" customFormat="false" ht="15" hidden="false" customHeight="false" outlineLevel="0" collapsed="false">
      <c r="A196" s="5" t="s">
        <v>42</v>
      </c>
      <c r="B196" s="3" t="s">
        <v>506</v>
      </c>
      <c r="C196" s="5" t="s">
        <v>132</v>
      </c>
      <c r="D196" s="3" t="s">
        <v>133</v>
      </c>
      <c r="E196" s="3" t="s">
        <v>507</v>
      </c>
    </row>
    <row r="197" customFormat="false" ht="23.85" hidden="false" customHeight="false" outlineLevel="0" collapsed="false">
      <c r="A197" s="5" t="s">
        <v>42</v>
      </c>
      <c r="B197" s="3" t="s">
        <v>508</v>
      </c>
      <c r="C197" s="5" t="s">
        <v>66</v>
      </c>
      <c r="D197" s="3" t="s">
        <v>67</v>
      </c>
      <c r="E197" s="3" t="s">
        <v>509</v>
      </c>
    </row>
    <row r="198" customFormat="false" ht="23.85" hidden="false" customHeight="false" outlineLevel="0" collapsed="false">
      <c r="A198" s="5" t="s">
        <v>42</v>
      </c>
      <c r="B198" s="3" t="s">
        <v>510</v>
      </c>
      <c r="C198" s="5" t="s">
        <v>163</v>
      </c>
      <c r="D198" s="3" t="s">
        <v>164</v>
      </c>
      <c r="E198" s="3" t="s">
        <v>509</v>
      </c>
    </row>
    <row r="199" customFormat="false" ht="35.05" hidden="false" customHeight="false" outlineLevel="0" collapsed="false">
      <c r="A199" s="5" t="s">
        <v>42</v>
      </c>
      <c r="B199" s="3" t="s">
        <v>511</v>
      </c>
      <c r="C199" s="5" t="s">
        <v>169</v>
      </c>
      <c r="D199" s="3" t="s">
        <v>170</v>
      </c>
      <c r="E199" s="3" t="s">
        <v>509</v>
      </c>
    </row>
    <row r="200" customFormat="false" ht="15" hidden="false" customHeight="false" outlineLevel="0" collapsed="false">
      <c r="A200" s="5" t="s">
        <v>42</v>
      </c>
      <c r="B200" s="3" t="s">
        <v>512</v>
      </c>
      <c r="C200" s="5" t="s">
        <v>105</v>
      </c>
      <c r="D200" s="3" t="s">
        <v>106</v>
      </c>
      <c r="E200" s="3" t="s">
        <v>513</v>
      </c>
    </row>
    <row r="201" customFormat="false" ht="23.85" hidden="false" customHeight="false" outlineLevel="0" collapsed="false">
      <c r="A201" s="5" t="s">
        <v>42</v>
      </c>
      <c r="B201" s="3" t="s">
        <v>514</v>
      </c>
      <c r="C201" s="5" t="s">
        <v>515</v>
      </c>
      <c r="D201" s="3" t="s">
        <v>516</v>
      </c>
      <c r="E201" s="3" t="s">
        <v>517</v>
      </c>
    </row>
    <row r="202" customFormat="false" ht="23.85" hidden="false" customHeight="false" outlineLevel="0" collapsed="false">
      <c r="A202" s="5" t="s">
        <v>42</v>
      </c>
      <c r="B202" s="3" t="s">
        <v>518</v>
      </c>
      <c r="C202" s="5" t="s">
        <v>519</v>
      </c>
      <c r="D202" s="3" t="s">
        <v>520</v>
      </c>
      <c r="E202" s="3" t="s">
        <v>517</v>
      </c>
    </row>
    <row r="203" customFormat="false" ht="23.85" hidden="false" customHeight="false" outlineLevel="0" collapsed="false">
      <c r="A203" s="5" t="s">
        <v>42</v>
      </c>
      <c r="B203" s="3" t="s">
        <v>521</v>
      </c>
      <c r="C203" s="5" t="s">
        <v>72</v>
      </c>
      <c r="D203" s="3" t="s">
        <v>73</v>
      </c>
      <c r="E203" s="3" t="s">
        <v>522</v>
      </c>
    </row>
    <row r="204" customFormat="false" ht="23.85" hidden="false" customHeight="false" outlineLevel="0" collapsed="false">
      <c r="A204" s="5" t="s">
        <v>42</v>
      </c>
      <c r="B204" s="3" t="s">
        <v>523</v>
      </c>
      <c r="C204" s="5" t="s">
        <v>333</v>
      </c>
      <c r="D204" s="3" t="s">
        <v>334</v>
      </c>
      <c r="E204" s="3" t="s">
        <v>522</v>
      </c>
    </row>
    <row r="205" customFormat="false" ht="23.85" hidden="false" customHeight="false" outlineLevel="0" collapsed="false">
      <c r="A205" s="5" t="s">
        <v>42</v>
      </c>
      <c r="B205" s="3" t="s">
        <v>524</v>
      </c>
      <c r="C205" s="5" t="s">
        <v>102</v>
      </c>
      <c r="D205" s="3" t="s">
        <v>103</v>
      </c>
      <c r="E205" s="3" t="s">
        <v>525</v>
      </c>
    </row>
    <row r="206" customFormat="false" ht="23.85" hidden="false" customHeight="false" outlineLevel="0" collapsed="false">
      <c r="A206" s="5" t="s">
        <v>42</v>
      </c>
      <c r="B206" s="3" t="s">
        <v>526</v>
      </c>
      <c r="C206" s="5" t="s">
        <v>527</v>
      </c>
      <c r="D206" s="3" t="s">
        <v>528</v>
      </c>
      <c r="E206" s="3" t="s">
        <v>525</v>
      </c>
    </row>
    <row r="207" customFormat="false" ht="15" hidden="false" customHeight="false" outlineLevel="0" collapsed="false">
      <c r="A207" s="5" t="s">
        <v>42</v>
      </c>
      <c r="B207" s="3" t="s">
        <v>529</v>
      </c>
      <c r="C207" s="5" t="s">
        <v>102</v>
      </c>
      <c r="D207" s="3" t="s">
        <v>103</v>
      </c>
      <c r="E207" s="3" t="s">
        <v>525</v>
      </c>
    </row>
    <row r="208" customFormat="false" ht="23.85" hidden="false" customHeight="false" outlineLevel="0" collapsed="false">
      <c r="A208" s="5" t="s">
        <v>42</v>
      </c>
      <c r="B208" s="3" t="s">
        <v>530</v>
      </c>
      <c r="C208" s="5" t="s">
        <v>531</v>
      </c>
      <c r="D208" s="3" t="s">
        <v>532</v>
      </c>
      <c r="E208" s="3" t="s">
        <v>533</v>
      </c>
    </row>
    <row r="209" customFormat="false" ht="23.85" hidden="false" customHeight="false" outlineLevel="0" collapsed="false">
      <c r="A209" s="5" t="s">
        <v>42</v>
      </c>
      <c r="B209" s="3" t="s">
        <v>534</v>
      </c>
      <c r="C209" s="5" t="s">
        <v>535</v>
      </c>
      <c r="D209" s="3" t="s">
        <v>536</v>
      </c>
      <c r="E209" s="3" t="s">
        <v>533</v>
      </c>
    </row>
    <row r="210" customFormat="false" ht="15" hidden="false" customHeight="false" outlineLevel="0" collapsed="false">
      <c r="A210" s="5" t="s">
        <v>42</v>
      </c>
      <c r="B210" s="3" t="s">
        <v>537</v>
      </c>
      <c r="C210" s="5" t="s">
        <v>96</v>
      </c>
      <c r="D210" s="3" t="s">
        <v>97</v>
      </c>
      <c r="E210" s="3" t="s">
        <v>533</v>
      </c>
    </row>
    <row r="211" customFormat="false" ht="35.05" hidden="false" customHeight="false" outlineLevel="0" collapsed="false">
      <c r="A211" s="5" t="s">
        <v>42</v>
      </c>
      <c r="B211" s="3" t="s">
        <v>538</v>
      </c>
      <c r="C211" s="5" t="s">
        <v>539</v>
      </c>
      <c r="D211" s="3" t="s">
        <v>540</v>
      </c>
      <c r="E211" s="3" t="s">
        <v>541</v>
      </c>
    </row>
    <row r="212" customFormat="false" ht="23.85" hidden="false" customHeight="false" outlineLevel="0" collapsed="false">
      <c r="A212" s="5" t="s">
        <v>42</v>
      </c>
      <c r="B212" s="3" t="s">
        <v>542</v>
      </c>
      <c r="C212" s="5" t="s">
        <v>111</v>
      </c>
      <c r="D212" s="3" t="s">
        <v>112</v>
      </c>
      <c r="E212" s="3" t="s">
        <v>541</v>
      </c>
    </row>
    <row r="213" customFormat="false" ht="23.85" hidden="false" customHeight="false" outlineLevel="0" collapsed="false">
      <c r="A213" s="5" t="s">
        <v>42</v>
      </c>
      <c r="B213" s="3" t="s">
        <v>543</v>
      </c>
      <c r="C213" s="5" t="s">
        <v>504</v>
      </c>
      <c r="D213" s="3" t="s">
        <v>505</v>
      </c>
      <c r="E213" s="3" t="s">
        <v>541</v>
      </c>
    </row>
  </sheetData>
  <autoFilter ref="A1:E2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4" min="3" style="0" width="16"/>
    <col collapsed="false" customWidth="true" hidden="false" outlineLevel="0" max="5" min="5" style="0" width="66"/>
    <col collapsed="false" customWidth="true" hidden="false" outlineLevel="0" max="6" min="6" style="0" width="14"/>
  </cols>
  <sheetData>
    <row r="1" customFormat="false" ht="27" hidden="false" customHeight="true" outlineLevel="0" collapsed="false">
      <c r="A1" s="1" t="s">
        <v>544</v>
      </c>
      <c r="B1" s="1" t="s">
        <v>545</v>
      </c>
      <c r="C1" s="1" t="s">
        <v>546</v>
      </c>
      <c r="D1" s="1" t="s">
        <v>547</v>
      </c>
      <c r="E1" s="1" t="s">
        <v>548</v>
      </c>
      <c r="F1" s="1" t="s">
        <v>53</v>
      </c>
    </row>
    <row r="2" customFormat="false" ht="169.5" hidden="false" customHeight="true" outlineLevel="0" collapsed="false">
      <c r="A2" s="6" t="s">
        <v>549</v>
      </c>
      <c r="B2" s="7" t="s">
        <v>550</v>
      </c>
      <c r="C2" s="6" t="s">
        <v>551</v>
      </c>
      <c r="D2" s="8" t="n">
        <f aca="false">SUMPRODUCT(SIGN(ISNUMBER(SEARCH("C01",Codifica!$C$2:$C$213))+ISNUMBER(SEARCH("C02",Codifica!$C$2:$C$213))+ISNUMBER(SEARCH("C03",Codifica!$C$2:$C$213))))</f>
        <v>35</v>
      </c>
      <c r="E2" s="7" t="s">
        <v>552</v>
      </c>
      <c r="F2" s="8" t="n">
        <f aca="false">COUNTIF(Matrice!$C$2:$H$2,"&gt;0")</f>
        <v>5</v>
      </c>
    </row>
    <row r="3" customFormat="false" ht="169.5" hidden="false" customHeight="true" outlineLevel="0" collapsed="false">
      <c r="A3" s="6" t="s">
        <v>553</v>
      </c>
      <c r="B3" s="7" t="s">
        <v>554</v>
      </c>
      <c r="C3" s="6" t="s">
        <v>555</v>
      </c>
      <c r="D3" s="8" t="n">
        <f aca="false">SUMPRODUCT(SIGN(ISNUMBER(SEARCH("C05",Codifica!$C$2:$C$213))+ISNUMBER(SEARCH("C06",Codifica!$C$2:$C$213))+ISNUMBER(SEARCH("C18",Codifica!$C$2:$C$213))+ISNUMBER(SEARCH("C19",Codifica!$C$2:$C$213))))</f>
        <v>39</v>
      </c>
      <c r="E3" s="7" t="s">
        <v>556</v>
      </c>
      <c r="F3" s="8" t="n">
        <f aca="false">COUNTIF(Matrice!$C$3:$H$3,"&gt;0")</f>
        <v>6</v>
      </c>
    </row>
    <row r="4" customFormat="false" ht="169.5" hidden="false" customHeight="true" outlineLevel="0" collapsed="false">
      <c r="A4" s="6" t="s">
        <v>557</v>
      </c>
      <c r="B4" s="7" t="s">
        <v>558</v>
      </c>
      <c r="C4" s="6" t="s">
        <v>559</v>
      </c>
      <c r="D4" s="8" t="n">
        <f aca="false">SUMPRODUCT(SIGN(ISNUMBER(SEARCH("C07",Codifica!$C$2:$C$213))+ISNUMBER(SEARCH("C08",Codifica!$C$2:$C$213))+ISNUMBER(SEARCH("C09",Codifica!$C$2:$C$213))+ISNUMBER(SEARCH("C23",Codifica!$C$2:$C$213))))</f>
        <v>40</v>
      </c>
      <c r="E4" s="7" t="s">
        <v>560</v>
      </c>
      <c r="F4" s="8" t="n">
        <f aca="false">COUNTIF(Matrice!$C$4:$H$4,"&gt;0")</f>
        <v>6</v>
      </c>
    </row>
    <row r="5" customFormat="false" ht="169.5" hidden="false" customHeight="true" outlineLevel="0" collapsed="false">
      <c r="A5" s="6" t="s">
        <v>561</v>
      </c>
      <c r="B5" s="7" t="s">
        <v>562</v>
      </c>
      <c r="C5" s="6" t="s">
        <v>563</v>
      </c>
      <c r="D5" s="8" t="n">
        <f aca="false">SUMPRODUCT(SIGN(ISNUMBER(SEARCH("C10",Codifica!$C$2:$C$213))+ISNUMBER(SEARCH("C11",Codifica!$C$2:$C$213))+ISNUMBER(SEARCH("C12",Codifica!$C$2:$C$213))))</f>
        <v>46</v>
      </c>
      <c r="E5" s="7" t="s">
        <v>564</v>
      </c>
      <c r="F5" s="8" t="n">
        <f aca="false">COUNTIF(Matrice!$C$5:$H$5,"&gt;0")</f>
        <v>6</v>
      </c>
    </row>
    <row r="6" customFormat="false" ht="169.5" hidden="false" customHeight="true" outlineLevel="0" collapsed="false">
      <c r="A6" s="6" t="s">
        <v>565</v>
      </c>
      <c r="B6" s="7" t="s">
        <v>566</v>
      </c>
      <c r="C6" s="6" t="s">
        <v>567</v>
      </c>
      <c r="D6" s="8" t="n">
        <f aca="false">SUMPRODUCT(SIGN(ISNUMBER(SEARCH("C13",Codifica!$C$2:$C$213))+ISNUMBER(SEARCH("C24",Codifica!$C$2:$C$213))))</f>
        <v>24</v>
      </c>
      <c r="E6" s="7" t="s">
        <v>568</v>
      </c>
      <c r="F6" s="8" t="n">
        <f aca="false">COUNTIF(Matrice!$C$6:$H$6,"&gt;0")</f>
        <v>5</v>
      </c>
    </row>
    <row r="7" customFormat="false" ht="169.5" hidden="false" customHeight="true" outlineLevel="0" collapsed="false">
      <c r="A7" s="6" t="s">
        <v>569</v>
      </c>
      <c r="B7" s="7" t="s">
        <v>570</v>
      </c>
      <c r="C7" s="6" t="s">
        <v>571</v>
      </c>
      <c r="D7" s="8" t="n">
        <f aca="false">SUMPRODUCT(SIGN(ISNUMBER(SEARCH("C14",Codifica!$C$2:$C$213))+ISNUMBER(SEARCH("C15",Codifica!$C$2:$C$213))+ISNUMBER(SEARCH("C17",Codifica!$C$2:$C$213))+ISNUMBER(SEARCH("C20",Codifica!$C$2:$C$213))+ISNUMBER(SEARCH("C22",Codifica!$C$2:$C$213))))</f>
        <v>44</v>
      </c>
      <c r="E7" s="7" t="s">
        <v>572</v>
      </c>
      <c r="F7" s="8" t="n">
        <f aca="false">COUNTIF(Matrice!$C$7:$H$7,"&gt;0")</f>
        <v>6</v>
      </c>
    </row>
    <row r="8" customFormat="false" ht="169.5" hidden="false" customHeight="true" outlineLevel="0" collapsed="false">
      <c r="A8" s="6" t="s">
        <v>573</v>
      </c>
      <c r="B8" s="7" t="s">
        <v>574</v>
      </c>
      <c r="C8" s="6" t="s">
        <v>575</v>
      </c>
      <c r="D8" s="8" t="n">
        <f aca="false">SUMPRODUCT(SIGN(ISNUMBER(SEARCH("C04",Codifica!$C$2:$C$213))+ISNUMBER(SEARCH("C16",Codifica!$C$2:$C$213))))</f>
        <v>22</v>
      </c>
      <c r="E8" s="7" t="s">
        <v>576</v>
      </c>
      <c r="F8" s="8" t="n">
        <f aca="false">COUNTIF(Matrice!$C$8:$H$8,"&gt;0")</f>
        <v>6</v>
      </c>
    </row>
    <row r="9" customFormat="false" ht="169.5" hidden="false" customHeight="true" outlineLevel="0" collapsed="false">
      <c r="A9" s="6" t="s">
        <v>577</v>
      </c>
      <c r="B9" s="7" t="s">
        <v>578</v>
      </c>
      <c r="C9" s="6" t="s">
        <v>579</v>
      </c>
      <c r="D9" s="8" t="n">
        <f aca="false">SUMPRODUCT(SIGN(ISNUMBER(SEARCH("C21",Codifica!$C$2:$C$213))+ISNUMBER(SEARCH("C25",Codifica!$C$2:$C$213))+ISNUMBER(SEARCH("C26",Codifica!$C$2:$C$213))))</f>
        <v>26</v>
      </c>
      <c r="E9" s="7" t="s">
        <v>580</v>
      </c>
      <c r="F9" s="8" t="n">
        <f aca="false">COUNTIF(Matrice!$C$9:$H$9,"&gt;0")</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6"/>
    <col collapsed="false" customWidth="true" hidden="false" outlineLevel="0" max="8" min="3" style="0" width="7"/>
    <col collapsed="false" customWidth="true" hidden="false" outlineLevel="0" max="10" min="9" style="0" width="14"/>
  </cols>
  <sheetData>
    <row r="1" customFormat="false" ht="27" hidden="false" customHeight="true" outlineLevel="0" collapsed="false">
      <c r="A1" s="1" t="s">
        <v>0</v>
      </c>
      <c r="B1" s="1" t="s">
        <v>544</v>
      </c>
      <c r="C1" s="1" t="s">
        <v>10</v>
      </c>
      <c r="D1" s="1" t="s">
        <v>17</v>
      </c>
      <c r="E1" s="1" t="s">
        <v>23</v>
      </c>
      <c r="F1" s="1" t="s">
        <v>28</v>
      </c>
      <c r="G1" s="1" t="s">
        <v>34</v>
      </c>
      <c r="H1" s="1" t="s">
        <v>42</v>
      </c>
      <c r="I1" s="1" t="s">
        <v>581</v>
      </c>
      <c r="J1" s="1" t="s">
        <v>582</v>
      </c>
    </row>
    <row r="2" customFormat="false" ht="30" hidden="false" customHeight="true" outlineLevel="0" collapsed="false">
      <c r="A2" s="2" t="s">
        <v>583</v>
      </c>
      <c r="B2" s="3" t="str">
        <f aca="false">Temi!A2</f>
        <v>T1 – Ritmi della giornata: routine, carichi variabili e pause</v>
      </c>
      <c r="C2" s="4" t="n">
        <f aca="false">SUMPRODUCT((Codifica!$A$2:$A$213=C$1)*SIGN(ISNUMBER(SEARCH("C01",Codifica!$C$2:$C$213))+ISNUMBER(SEARCH("C02",Codifica!$C$2:$C$213))+ISNUMBER(SEARCH("C03",Codifica!$C$2:$C$213))))</f>
        <v>6</v>
      </c>
      <c r="D2" s="4" t="n">
        <f aca="false">SUMPRODUCT((Codifica!$A$2:$A$213=D$1)*SIGN(ISNUMBER(SEARCH("C01",Codifica!$C$2:$C$213))+ISNUMBER(SEARCH("C02",Codifica!$C$2:$C$213))+ISNUMBER(SEARCH("C03",Codifica!$C$2:$C$213))))</f>
        <v>11</v>
      </c>
      <c r="E2" s="4" t="n">
        <f aca="false">SUMPRODUCT((Codifica!$A$2:$A$213=E$1)*SIGN(ISNUMBER(SEARCH("C01",Codifica!$C$2:$C$213))+ISNUMBER(SEARCH("C02",Codifica!$C$2:$C$213))+ISNUMBER(SEARCH("C03",Codifica!$C$2:$C$213))))</f>
        <v>8</v>
      </c>
      <c r="F2" s="4" t="n">
        <f aca="false">SUMPRODUCT((Codifica!$A$2:$A$213=F$1)*SIGN(ISNUMBER(SEARCH("C01",Codifica!$C$2:$C$213))+ISNUMBER(SEARCH("C02",Codifica!$C$2:$C$213))+ISNUMBER(SEARCH("C03",Codifica!$C$2:$C$213))))</f>
        <v>7</v>
      </c>
      <c r="G2" s="4" t="n">
        <f aca="false">SUMPRODUCT((Codifica!$A$2:$A$213=G$1)*SIGN(ISNUMBER(SEARCH("C01",Codifica!$C$2:$C$213))+ISNUMBER(SEARCH("C02",Codifica!$C$2:$C$213))+ISNUMBER(SEARCH("C03",Codifica!$C$2:$C$213))))</f>
        <v>3</v>
      </c>
      <c r="H2" s="4" t="n">
        <f aca="false">SUMPRODUCT((Codifica!$A$2:$A$213=H$1)*SIGN(ISNUMBER(SEARCH("C01",Codifica!$C$2:$C$213))+ISNUMBER(SEARCH("C02",Codifica!$C$2:$C$213))+ISNUMBER(SEARCH("C03",Codifica!$C$2:$C$213))))</f>
        <v>0</v>
      </c>
      <c r="I2" s="4" t="n">
        <f aca="false">SUM(C2:H2)</f>
        <v>35</v>
      </c>
      <c r="J2" s="4" t="n">
        <f aca="false">COUNTIF(C2:H2,"&gt;0")</f>
        <v>5</v>
      </c>
    </row>
    <row r="3" customFormat="false" ht="30" hidden="false" customHeight="true" outlineLevel="0" collapsed="false">
      <c r="A3" s="2" t="s">
        <v>584</v>
      </c>
      <c r="B3" s="3" t="str">
        <f aca="false">Temi!A3</f>
        <v>T2 – Confini tra lavoro e vita privata: orari, tecnologia e distacco mentale</v>
      </c>
      <c r="C3" s="4" t="n">
        <f aca="false">SUMPRODUCT((Codifica!$A$2:$A$213=C$1)*SIGN(ISNUMBER(SEARCH("C05",Codifica!$C$2:$C$213))+ISNUMBER(SEARCH("C06",Codifica!$C$2:$C$213))+ISNUMBER(SEARCH("C18",Codifica!$C$2:$C$213))+ISNUMBER(SEARCH("C19",Codifica!$C$2:$C$213))))</f>
        <v>6</v>
      </c>
      <c r="D3" s="4" t="n">
        <f aca="false">SUMPRODUCT((Codifica!$A$2:$A$213=D$1)*SIGN(ISNUMBER(SEARCH("C05",Codifica!$C$2:$C$213))+ISNUMBER(SEARCH("C06",Codifica!$C$2:$C$213))+ISNUMBER(SEARCH("C18",Codifica!$C$2:$C$213))+ISNUMBER(SEARCH("C19",Codifica!$C$2:$C$213))))</f>
        <v>3</v>
      </c>
      <c r="E3" s="4" t="n">
        <f aca="false">SUMPRODUCT((Codifica!$A$2:$A$213=E$1)*SIGN(ISNUMBER(SEARCH("C05",Codifica!$C$2:$C$213))+ISNUMBER(SEARCH("C06",Codifica!$C$2:$C$213))+ISNUMBER(SEARCH("C18",Codifica!$C$2:$C$213))+ISNUMBER(SEARCH("C19",Codifica!$C$2:$C$213))))</f>
        <v>6</v>
      </c>
      <c r="F3" s="4" t="n">
        <f aca="false">SUMPRODUCT((Codifica!$A$2:$A$213=F$1)*SIGN(ISNUMBER(SEARCH("C05",Codifica!$C$2:$C$213))+ISNUMBER(SEARCH("C06",Codifica!$C$2:$C$213))+ISNUMBER(SEARCH("C18",Codifica!$C$2:$C$213))+ISNUMBER(SEARCH("C19",Codifica!$C$2:$C$213))))</f>
        <v>9</v>
      </c>
      <c r="G3" s="4" t="n">
        <f aca="false">SUMPRODUCT((Codifica!$A$2:$A$213=G$1)*SIGN(ISNUMBER(SEARCH("C05",Codifica!$C$2:$C$213))+ISNUMBER(SEARCH("C06",Codifica!$C$2:$C$213))+ISNUMBER(SEARCH("C18",Codifica!$C$2:$C$213))+ISNUMBER(SEARCH("C19",Codifica!$C$2:$C$213))))</f>
        <v>9</v>
      </c>
      <c r="H3" s="4" t="n">
        <f aca="false">SUMPRODUCT((Codifica!$A$2:$A$213=H$1)*SIGN(ISNUMBER(SEARCH("C05",Codifica!$C$2:$C$213))+ISNUMBER(SEARCH("C06",Codifica!$C$2:$C$213))+ISNUMBER(SEARCH("C18",Codifica!$C$2:$C$213))+ISNUMBER(SEARCH("C19",Codifica!$C$2:$C$213))))</f>
        <v>6</v>
      </c>
      <c r="I3" s="4" t="n">
        <f aca="false">SUM(C3:H3)</f>
        <v>39</v>
      </c>
      <c r="J3" s="4" t="n">
        <f aca="false">COUNTIF(C3:H3,"&gt;0")</f>
        <v>6</v>
      </c>
    </row>
    <row r="4" customFormat="false" ht="30" hidden="false" customHeight="true" outlineLevel="0" collapsed="false">
      <c r="A4" s="2" t="s">
        <v>585</v>
      </c>
      <c r="B4" s="3" t="str">
        <f aca="false">Temi!A4</f>
        <v>T3 – La casa come ufficio: spazio, interruzioni e famiglia</v>
      </c>
      <c r="C4" s="4" t="n">
        <f aca="false">SUMPRODUCT((Codifica!$A$2:$A$213=C$1)*SIGN(ISNUMBER(SEARCH("C07",Codifica!$C$2:$C$213))+ISNUMBER(SEARCH("C08",Codifica!$C$2:$C$213))+ISNUMBER(SEARCH("C09",Codifica!$C$2:$C$213))+ISNUMBER(SEARCH("C23",Codifica!$C$2:$C$213))))</f>
        <v>7</v>
      </c>
      <c r="D4" s="4" t="n">
        <f aca="false">SUMPRODUCT((Codifica!$A$2:$A$213=D$1)*SIGN(ISNUMBER(SEARCH("C07",Codifica!$C$2:$C$213))+ISNUMBER(SEARCH("C08",Codifica!$C$2:$C$213))+ISNUMBER(SEARCH("C09",Codifica!$C$2:$C$213))+ISNUMBER(SEARCH("C23",Codifica!$C$2:$C$213))))</f>
        <v>7</v>
      </c>
      <c r="E4" s="4" t="n">
        <f aca="false">SUMPRODUCT((Codifica!$A$2:$A$213=E$1)*SIGN(ISNUMBER(SEARCH("C07",Codifica!$C$2:$C$213))+ISNUMBER(SEARCH("C08",Codifica!$C$2:$C$213))+ISNUMBER(SEARCH("C09",Codifica!$C$2:$C$213))+ISNUMBER(SEARCH("C23",Codifica!$C$2:$C$213))))</f>
        <v>9</v>
      </c>
      <c r="F4" s="4" t="n">
        <f aca="false">SUMPRODUCT((Codifica!$A$2:$A$213=F$1)*SIGN(ISNUMBER(SEARCH("C07",Codifica!$C$2:$C$213))+ISNUMBER(SEARCH("C08",Codifica!$C$2:$C$213))+ISNUMBER(SEARCH("C09",Codifica!$C$2:$C$213))+ISNUMBER(SEARCH("C23",Codifica!$C$2:$C$213))))</f>
        <v>9</v>
      </c>
      <c r="G4" s="4" t="n">
        <f aca="false">SUMPRODUCT((Codifica!$A$2:$A$213=G$1)*SIGN(ISNUMBER(SEARCH("C07",Codifica!$C$2:$C$213))+ISNUMBER(SEARCH("C08",Codifica!$C$2:$C$213))+ISNUMBER(SEARCH("C09",Codifica!$C$2:$C$213))+ISNUMBER(SEARCH("C23",Codifica!$C$2:$C$213))))</f>
        <v>6</v>
      </c>
      <c r="H4" s="4" t="n">
        <f aca="false">SUMPRODUCT((Codifica!$A$2:$A$213=H$1)*SIGN(ISNUMBER(SEARCH("C07",Codifica!$C$2:$C$213))+ISNUMBER(SEARCH("C08",Codifica!$C$2:$C$213))+ISNUMBER(SEARCH("C09",Codifica!$C$2:$C$213))+ISNUMBER(SEARCH("C23",Codifica!$C$2:$C$213))))</f>
        <v>2</v>
      </c>
      <c r="I4" s="4" t="n">
        <f aca="false">SUM(C4:H4)</f>
        <v>40</v>
      </c>
      <c r="J4" s="4" t="n">
        <f aca="false">COUNTIF(C4:H4,"&gt;0")</f>
        <v>6</v>
      </c>
    </row>
    <row r="5" customFormat="false" ht="30" hidden="false" customHeight="true" outlineLevel="0" collapsed="false">
      <c r="A5" s="2" t="s">
        <v>586</v>
      </c>
      <c r="B5" s="3" t="str">
        <f aca="false">Temi!A5</f>
        <v>T4 – Tempo restituito, autonomia e vita fuori dal lavoro</v>
      </c>
      <c r="C5" s="4" t="n">
        <f aca="false">SUMPRODUCT((Codifica!$A$2:$A$213=C$1)*SIGN(ISNUMBER(SEARCH("C10",Codifica!$C$2:$C$213))+ISNUMBER(SEARCH("C11",Codifica!$C$2:$C$213))+ISNUMBER(SEARCH("C12",Codifica!$C$2:$C$213))))</f>
        <v>13</v>
      </c>
      <c r="D5" s="4" t="n">
        <f aca="false">SUMPRODUCT((Codifica!$A$2:$A$213=D$1)*SIGN(ISNUMBER(SEARCH("C10",Codifica!$C$2:$C$213))+ISNUMBER(SEARCH("C11",Codifica!$C$2:$C$213))+ISNUMBER(SEARCH("C12",Codifica!$C$2:$C$213))))</f>
        <v>9</v>
      </c>
      <c r="E5" s="4" t="n">
        <f aca="false">SUMPRODUCT((Codifica!$A$2:$A$213=E$1)*SIGN(ISNUMBER(SEARCH("C10",Codifica!$C$2:$C$213))+ISNUMBER(SEARCH("C11",Codifica!$C$2:$C$213))+ISNUMBER(SEARCH("C12",Codifica!$C$2:$C$213))))</f>
        <v>6</v>
      </c>
      <c r="F5" s="4" t="n">
        <f aca="false">SUMPRODUCT((Codifica!$A$2:$A$213=F$1)*SIGN(ISNUMBER(SEARCH("C10",Codifica!$C$2:$C$213))+ISNUMBER(SEARCH("C11",Codifica!$C$2:$C$213))+ISNUMBER(SEARCH("C12",Codifica!$C$2:$C$213))))</f>
        <v>6</v>
      </c>
      <c r="G5" s="4" t="n">
        <f aca="false">SUMPRODUCT((Codifica!$A$2:$A$213=G$1)*SIGN(ISNUMBER(SEARCH("C10",Codifica!$C$2:$C$213))+ISNUMBER(SEARCH("C11",Codifica!$C$2:$C$213))+ISNUMBER(SEARCH("C12",Codifica!$C$2:$C$213))))</f>
        <v>8</v>
      </c>
      <c r="H5" s="4" t="n">
        <f aca="false">SUMPRODUCT((Codifica!$A$2:$A$213=H$1)*SIGN(ISNUMBER(SEARCH("C10",Codifica!$C$2:$C$213))+ISNUMBER(SEARCH("C11",Codifica!$C$2:$C$213))+ISNUMBER(SEARCH("C12",Codifica!$C$2:$C$213))))</f>
        <v>4</v>
      </c>
      <c r="I5" s="4" t="n">
        <f aca="false">SUM(C5:H5)</f>
        <v>46</v>
      </c>
      <c r="J5" s="4" t="n">
        <f aca="false">COUNTIF(C5:H5,"&gt;0")</f>
        <v>6</v>
      </c>
    </row>
    <row r="6" customFormat="false" ht="30" hidden="false" customHeight="true" outlineLevel="0" collapsed="false">
      <c r="A6" s="2" t="s">
        <v>587</v>
      </c>
      <c r="B6" s="3" t="str">
        <f aca="false">Temi!A6</f>
        <v>T5 – Socialità scelta e radicamento territoriale</v>
      </c>
      <c r="C6" s="4" t="n">
        <f aca="false">SUMPRODUCT((Codifica!$A$2:$A$213=C$1)*SIGN(ISNUMBER(SEARCH("C13",Codifica!$C$2:$C$213))+ISNUMBER(SEARCH("C24",Codifica!$C$2:$C$213))))</f>
        <v>8</v>
      </c>
      <c r="D6" s="4" t="n">
        <f aca="false">SUMPRODUCT((Codifica!$A$2:$A$213=D$1)*SIGN(ISNUMBER(SEARCH("C13",Codifica!$C$2:$C$213))+ISNUMBER(SEARCH("C24",Codifica!$C$2:$C$213))))</f>
        <v>1</v>
      </c>
      <c r="E6" s="4" t="n">
        <f aca="false">SUMPRODUCT((Codifica!$A$2:$A$213=E$1)*SIGN(ISNUMBER(SEARCH("C13",Codifica!$C$2:$C$213))+ISNUMBER(SEARCH("C24",Codifica!$C$2:$C$213))))</f>
        <v>1</v>
      </c>
      <c r="F6" s="4" t="n">
        <f aca="false">SUMPRODUCT((Codifica!$A$2:$A$213=F$1)*SIGN(ISNUMBER(SEARCH("C13",Codifica!$C$2:$C$213))+ISNUMBER(SEARCH("C24",Codifica!$C$2:$C$213))))</f>
        <v>2</v>
      </c>
      <c r="G6" s="4" t="n">
        <f aca="false">SUMPRODUCT((Codifica!$A$2:$A$213=G$1)*SIGN(ISNUMBER(SEARCH("C13",Codifica!$C$2:$C$213))+ISNUMBER(SEARCH("C24",Codifica!$C$2:$C$213))))</f>
        <v>12</v>
      </c>
      <c r="H6" s="4" t="n">
        <f aca="false">SUMPRODUCT((Codifica!$A$2:$A$213=H$1)*SIGN(ISNUMBER(SEARCH("C13",Codifica!$C$2:$C$213))+ISNUMBER(SEARCH("C24",Codifica!$C$2:$C$213))))</f>
        <v>0</v>
      </c>
      <c r="I6" s="4" t="n">
        <f aca="false">SUM(C6:H6)</f>
        <v>24</v>
      </c>
      <c r="J6" s="4" t="n">
        <f aca="false">COUNTIF(C6:H6,"&gt;0")</f>
        <v>5</v>
      </c>
    </row>
    <row r="7" customFormat="false" ht="30" hidden="false" customHeight="true" outlineLevel="0" collapsed="false">
      <c r="A7" s="2" t="s">
        <v>588</v>
      </c>
      <c r="B7" s="3" t="str">
        <f aca="false">Temi!A7</f>
        <v>T6 – Colleghi, fiducia e rischio di isolamento</v>
      </c>
      <c r="C7" s="4" t="n">
        <f aca="false">SUMPRODUCT((Codifica!$A$2:$A$213=C$1)*SIGN(ISNUMBER(SEARCH("C14",Codifica!$C$2:$C$213))+ISNUMBER(SEARCH("C15",Codifica!$C$2:$C$213))+ISNUMBER(SEARCH("C17",Codifica!$C$2:$C$213))+ISNUMBER(SEARCH("C20",Codifica!$C$2:$C$213))+ISNUMBER(SEARCH("C22",Codifica!$C$2:$C$213))))</f>
        <v>8</v>
      </c>
      <c r="D7" s="4" t="n">
        <f aca="false">SUMPRODUCT((Codifica!$A$2:$A$213=D$1)*SIGN(ISNUMBER(SEARCH("C14",Codifica!$C$2:$C$213))+ISNUMBER(SEARCH("C15",Codifica!$C$2:$C$213))+ISNUMBER(SEARCH("C17",Codifica!$C$2:$C$213))+ISNUMBER(SEARCH("C20",Codifica!$C$2:$C$213))+ISNUMBER(SEARCH("C22",Codifica!$C$2:$C$213))))</f>
        <v>6</v>
      </c>
      <c r="E7" s="4" t="n">
        <f aca="false">SUMPRODUCT((Codifica!$A$2:$A$213=E$1)*SIGN(ISNUMBER(SEARCH("C14",Codifica!$C$2:$C$213))+ISNUMBER(SEARCH("C15",Codifica!$C$2:$C$213))+ISNUMBER(SEARCH("C17",Codifica!$C$2:$C$213))+ISNUMBER(SEARCH("C20",Codifica!$C$2:$C$213))+ISNUMBER(SEARCH("C22",Codifica!$C$2:$C$213))))</f>
        <v>6</v>
      </c>
      <c r="F7" s="4" t="n">
        <f aca="false">SUMPRODUCT((Codifica!$A$2:$A$213=F$1)*SIGN(ISNUMBER(SEARCH("C14",Codifica!$C$2:$C$213))+ISNUMBER(SEARCH("C15",Codifica!$C$2:$C$213))+ISNUMBER(SEARCH("C17",Codifica!$C$2:$C$213))+ISNUMBER(SEARCH("C20",Codifica!$C$2:$C$213))+ISNUMBER(SEARCH("C22",Codifica!$C$2:$C$213))))</f>
        <v>8</v>
      </c>
      <c r="G7" s="4" t="n">
        <f aca="false">SUMPRODUCT((Codifica!$A$2:$A$213=G$1)*SIGN(ISNUMBER(SEARCH("C14",Codifica!$C$2:$C$213))+ISNUMBER(SEARCH("C15",Codifica!$C$2:$C$213))+ISNUMBER(SEARCH("C17",Codifica!$C$2:$C$213))+ISNUMBER(SEARCH("C20",Codifica!$C$2:$C$213))+ISNUMBER(SEARCH("C22",Codifica!$C$2:$C$213))))</f>
        <v>5</v>
      </c>
      <c r="H7" s="4" t="n">
        <f aca="false">SUMPRODUCT((Codifica!$A$2:$A$213=H$1)*SIGN(ISNUMBER(SEARCH("C14",Codifica!$C$2:$C$213))+ISNUMBER(SEARCH("C15",Codifica!$C$2:$C$213))+ISNUMBER(SEARCH("C17",Codifica!$C$2:$C$213))+ISNUMBER(SEARCH("C20",Codifica!$C$2:$C$213))+ISNUMBER(SEARCH("C22",Codifica!$C$2:$C$213))))</f>
        <v>11</v>
      </c>
      <c r="I7" s="4" t="n">
        <f aca="false">SUM(C7:H7)</f>
        <v>44</v>
      </c>
      <c r="J7" s="4" t="n">
        <f aca="false">COUNTIF(C7:H7,"&gt;0")</f>
        <v>6</v>
      </c>
    </row>
    <row r="8" customFormat="false" ht="30" hidden="false" customHeight="true" outlineLevel="0" collapsed="false">
      <c r="A8" s="2" t="s">
        <v>589</v>
      </c>
      <c r="B8" s="3" t="str">
        <f aca="false">Temi!A8</f>
        <v>T7 – Comunicare, imparare e collaborare a distanza</v>
      </c>
      <c r="C8" s="4" t="n">
        <f aca="false">SUMPRODUCT((Codifica!$A$2:$A$213=C$1)*SIGN(ISNUMBER(SEARCH("C04",Codifica!$C$2:$C$213))+ISNUMBER(SEARCH("C16",Codifica!$C$2:$C$213))))</f>
        <v>5</v>
      </c>
      <c r="D8" s="4" t="n">
        <f aca="false">SUMPRODUCT((Codifica!$A$2:$A$213=D$1)*SIGN(ISNUMBER(SEARCH("C04",Codifica!$C$2:$C$213))+ISNUMBER(SEARCH("C16",Codifica!$C$2:$C$213))))</f>
        <v>4</v>
      </c>
      <c r="E8" s="4" t="n">
        <f aca="false">SUMPRODUCT((Codifica!$A$2:$A$213=E$1)*SIGN(ISNUMBER(SEARCH("C04",Codifica!$C$2:$C$213))+ISNUMBER(SEARCH("C16",Codifica!$C$2:$C$213))))</f>
        <v>1</v>
      </c>
      <c r="F8" s="4" t="n">
        <f aca="false">SUMPRODUCT((Codifica!$A$2:$A$213=F$1)*SIGN(ISNUMBER(SEARCH("C04",Codifica!$C$2:$C$213))+ISNUMBER(SEARCH("C16",Codifica!$C$2:$C$213))))</f>
        <v>3</v>
      </c>
      <c r="G8" s="4" t="n">
        <f aca="false">SUMPRODUCT((Codifica!$A$2:$A$213=G$1)*SIGN(ISNUMBER(SEARCH("C04",Codifica!$C$2:$C$213))+ISNUMBER(SEARCH("C16",Codifica!$C$2:$C$213))))</f>
        <v>8</v>
      </c>
      <c r="H8" s="4" t="n">
        <f aca="false">SUMPRODUCT((Codifica!$A$2:$A$213=H$1)*SIGN(ISNUMBER(SEARCH("C04",Codifica!$C$2:$C$213))+ISNUMBER(SEARCH("C16",Codifica!$C$2:$C$213))))</f>
        <v>1</v>
      </c>
      <c r="I8" s="4" t="n">
        <f aca="false">SUM(C8:H8)</f>
        <v>22</v>
      </c>
      <c r="J8" s="4" t="n">
        <f aca="false">COUNTIF(C8:H8,"&gt;0")</f>
        <v>6</v>
      </c>
    </row>
    <row r="9" customFormat="false" ht="30" hidden="false" customHeight="true" outlineLevel="0" collapsed="false">
      <c r="A9" s="2" t="s">
        <v>590</v>
      </c>
      <c r="B9" s="3" t="str">
        <f aca="false">Temi!A9</f>
        <v>T8 – Tutele, cultura e infrastruttura organizzativa</v>
      </c>
      <c r="C9" s="4" t="n">
        <f aca="false">SUMPRODUCT((Codifica!$A$2:$A$213=C$1)*SIGN(ISNUMBER(SEARCH("C21",Codifica!$C$2:$C$213))+ISNUMBER(SEARCH("C25",Codifica!$C$2:$C$213))+ISNUMBER(SEARCH("C26",Codifica!$C$2:$C$213))))</f>
        <v>2</v>
      </c>
      <c r="D9" s="4" t="n">
        <f aca="false">SUMPRODUCT((Codifica!$A$2:$A$213=D$1)*SIGN(ISNUMBER(SEARCH("C21",Codifica!$C$2:$C$213))+ISNUMBER(SEARCH("C25",Codifica!$C$2:$C$213))+ISNUMBER(SEARCH("C26",Codifica!$C$2:$C$213))))</f>
        <v>1</v>
      </c>
      <c r="E9" s="4" t="n">
        <f aca="false">SUMPRODUCT((Codifica!$A$2:$A$213=E$1)*SIGN(ISNUMBER(SEARCH("C21",Codifica!$C$2:$C$213))+ISNUMBER(SEARCH("C25",Codifica!$C$2:$C$213))+ISNUMBER(SEARCH("C26",Codifica!$C$2:$C$213))))</f>
        <v>0</v>
      </c>
      <c r="F9" s="4" t="n">
        <f aca="false">SUMPRODUCT((Codifica!$A$2:$A$213=F$1)*SIGN(ISNUMBER(SEARCH("C21",Codifica!$C$2:$C$213))+ISNUMBER(SEARCH("C25",Codifica!$C$2:$C$213))+ISNUMBER(SEARCH("C26",Codifica!$C$2:$C$213))))</f>
        <v>2</v>
      </c>
      <c r="G9" s="4" t="n">
        <f aca="false">SUMPRODUCT((Codifica!$A$2:$A$213=G$1)*SIGN(ISNUMBER(SEARCH("C21",Codifica!$C$2:$C$213))+ISNUMBER(SEARCH("C25",Codifica!$C$2:$C$213))+ISNUMBER(SEARCH("C26",Codifica!$C$2:$C$213))))</f>
        <v>12</v>
      </c>
      <c r="H9" s="4" t="n">
        <f aca="false">SUMPRODUCT((Codifica!$A$2:$A$213=H$1)*SIGN(ISNUMBER(SEARCH("C21",Codifica!$C$2:$C$213))+ISNUMBER(SEARCH("C25",Codifica!$C$2:$C$213))+ISNUMBER(SEARCH("C26",Codifica!$C$2:$C$213))))</f>
        <v>9</v>
      </c>
      <c r="I9" s="4" t="n">
        <f aca="false">SUM(C9:H9)</f>
        <v>26</v>
      </c>
      <c r="J9" s="4" t="n">
        <f aca="false">COUNTIF(C9:H9,"&gt;0")</f>
        <v>5</v>
      </c>
    </row>
    <row r="11" customFormat="false" ht="15" hidden="false" customHeight="false" outlineLevel="0" collapsed="false">
      <c r="A11" s="9" t="s">
        <v>591</v>
      </c>
    </row>
    <row r="12" customFormat="false" ht="27" hidden="false" customHeight="true" outlineLevel="0" collapsed="false">
      <c r="A12" s="1" t="s">
        <v>49</v>
      </c>
      <c r="B12" s="1" t="s">
        <v>50</v>
      </c>
      <c r="C12" s="1" t="s">
        <v>10</v>
      </c>
      <c r="D12" s="1" t="s">
        <v>17</v>
      </c>
      <c r="E12" s="1" t="s">
        <v>23</v>
      </c>
      <c r="F12" s="1" t="s">
        <v>28</v>
      </c>
      <c r="G12" s="1" t="s">
        <v>34</v>
      </c>
      <c r="H12" s="1" t="s">
        <v>42</v>
      </c>
      <c r="I12" s="1" t="s">
        <v>592</v>
      </c>
      <c r="J12" s="1" t="s">
        <v>582</v>
      </c>
    </row>
    <row r="13" customFormat="false" ht="15" hidden="false" customHeight="false" outlineLevel="0" collapsed="false">
      <c r="A13" s="2" t="s">
        <v>54</v>
      </c>
      <c r="B13" s="3" t="str">
        <f aca="false">Codebook!B2</f>
        <v>Struttura della giornata e routine</v>
      </c>
      <c r="C13" s="4" t="n">
        <f aca="false">COUNTIFS(Codifica!$A$2:$A$213,C$12,Codifica!$C$2:$C$213,"*"&amp;$A13&amp;"*")</f>
        <v>3</v>
      </c>
      <c r="D13" s="4" t="n">
        <f aca="false">COUNTIFS(Codifica!$A$2:$A$213,D$12,Codifica!$C$2:$C$213,"*"&amp;$A13&amp;"*")</f>
        <v>6</v>
      </c>
      <c r="E13" s="4" t="n">
        <f aca="false">COUNTIFS(Codifica!$A$2:$A$213,E$12,Codifica!$C$2:$C$213,"*"&amp;$A13&amp;"*")</f>
        <v>2</v>
      </c>
      <c r="F13" s="4" t="n">
        <f aca="false">COUNTIFS(Codifica!$A$2:$A$213,F$12,Codifica!$C$2:$C$213,"*"&amp;$A13&amp;"*")</f>
        <v>5</v>
      </c>
      <c r="G13" s="4" t="n">
        <f aca="false">COUNTIFS(Codifica!$A$2:$A$213,G$12,Codifica!$C$2:$C$213,"*"&amp;$A13&amp;"*")</f>
        <v>2</v>
      </c>
      <c r="H13" s="4" t="n">
        <f aca="false">COUNTIFS(Codifica!$A$2:$A$213,H$12,Codifica!$C$2:$C$213,"*"&amp;$A13&amp;"*")</f>
        <v>0</v>
      </c>
      <c r="I13" s="4" t="n">
        <f aca="false">SUM(C13:H13)</f>
        <v>18</v>
      </c>
      <c r="J13" s="4" t="n">
        <f aca="false">COUNTIF(C13:H13,"&gt;0")</f>
        <v>5</v>
      </c>
    </row>
    <row r="14" customFormat="false" ht="15" hidden="false" customHeight="false" outlineLevel="0" collapsed="false">
      <c r="A14" s="2" t="s">
        <v>57</v>
      </c>
      <c r="B14" s="3" t="str">
        <f aca="false">Codebook!B3</f>
        <v>Carico di lavoro variabile e imprevisti</v>
      </c>
      <c r="C14" s="4" t="n">
        <f aca="false">COUNTIFS(Codifica!$A$2:$A$213,C$12,Codifica!$C$2:$C$213,"*"&amp;$A14&amp;"*")</f>
        <v>2</v>
      </c>
      <c r="D14" s="4" t="n">
        <f aca="false">COUNTIFS(Codifica!$A$2:$A$213,D$12,Codifica!$C$2:$C$213,"*"&amp;$A14&amp;"*")</f>
        <v>3</v>
      </c>
      <c r="E14" s="4" t="n">
        <f aca="false">COUNTIFS(Codifica!$A$2:$A$213,E$12,Codifica!$C$2:$C$213,"*"&amp;$A14&amp;"*")</f>
        <v>3</v>
      </c>
      <c r="F14" s="4" t="n">
        <f aca="false">COUNTIFS(Codifica!$A$2:$A$213,F$12,Codifica!$C$2:$C$213,"*"&amp;$A14&amp;"*")</f>
        <v>0</v>
      </c>
      <c r="G14" s="4" t="n">
        <f aca="false">COUNTIFS(Codifica!$A$2:$A$213,G$12,Codifica!$C$2:$C$213,"*"&amp;$A14&amp;"*")</f>
        <v>3</v>
      </c>
      <c r="H14" s="4" t="n">
        <f aca="false">COUNTIFS(Codifica!$A$2:$A$213,H$12,Codifica!$C$2:$C$213,"*"&amp;$A14&amp;"*")</f>
        <v>0</v>
      </c>
      <c r="I14" s="4" t="n">
        <f aca="false">SUM(C14:H14)</f>
        <v>11</v>
      </c>
      <c r="J14" s="4" t="n">
        <f aca="false">COUNTIF(C14:H14,"&gt;0")</f>
        <v>4</v>
      </c>
    </row>
    <row r="15" customFormat="false" ht="15" hidden="false" customHeight="false" outlineLevel="0" collapsed="false">
      <c r="A15" s="2" t="s">
        <v>60</v>
      </c>
      <c r="B15" s="3" t="str">
        <f aca="false">Codebook!B4</f>
        <v>Pause, pranzo e micro-interruzioni</v>
      </c>
      <c r="C15" s="4" t="n">
        <f aca="false">COUNTIFS(Codifica!$A$2:$A$213,C$12,Codifica!$C$2:$C$213,"*"&amp;$A15&amp;"*")</f>
        <v>2</v>
      </c>
      <c r="D15" s="4" t="n">
        <f aca="false">COUNTIFS(Codifica!$A$2:$A$213,D$12,Codifica!$C$2:$C$213,"*"&amp;$A15&amp;"*")</f>
        <v>2</v>
      </c>
      <c r="E15" s="4" t="n">
        <f aca="false">COUNTIFS(Codifica!$A$2:$A$213,E$12,Codifica!$C$2:$C$213,"*"&amp;$A15&amp;"*")</f>
        <v>4</v>
      </c>
      <c r="F15" s="4" t="n">
        <f aca="false">COUNTIFS(Codifica!$A$2:$A$213,F$12,Codifica!$C$2:$C$213,"*"&amp;$A15&amp;"*")</f>
        <v>2</v>
      </c>
      <c r="G15" s="4" t="n">
        <f aca="false">COUNTIFS(Codifica!$A$2:$A$213,G$12,Codifica!$C$2:$C$213,"*"&amp;$A15&amp;"*")</f>
        <v>0</v>
      </c>
      <c r="H15" s="4" t="n">
        <f aca="false">COUNTIFS(Codifica!$A$2:$A$213,H$12,Codifica!$C$2:$C$213,"*"&amp;$A15&amp;"*")</f>
        <v>0</v>
      </c>
      <c r="I15" s="4" t="n">
        <f aca="false">SUM(C15:H15)</f>
        <v>10</v>
      </c>
      <c r="J15" s="4" t="n">
        <f aca="false">COUNTIF(C15:H15,"&gt;0")</f>
        <v>4</v>
      </c>
    </row>
    <row r="16" customFormat="false" ht="15" hidden="false" customHeight="false" outlineLevel="0" collapsed="false">
      <c r="A16" s="2" t="s">
        <v>63</v>
      </c>
      <c r="B16" s="3" t="str">
        <f aca="false">Codebook!B5</f>
        <v>Comunicazione e coordinamento con il team</v>
      </c>
      <c r="C16" s="4" t="n">
        <f aca="false">COUNTIFS(Codifica!$A$2:$A$213,C$12,Codifica!$C$2:$C$213,"*"&amp;$A16&amp;"*")</f>
        <v>5</v>
      </c>
      <c r="D16" s="4" t="n">
        <f aca="false">COUNTIFS(Codifica!$A$2:$A$213,D$12,Codifica!$C$2:$C$213,"*"&amp;$A16&amp;"*")</f>
        <v>2</v>
      </c>
      <c r="E16" s="4" t="n">
        <f aca="false">COUNTIFS(Codifica!$A$2:$A$213,E$12,Codifica!$C$2:$C$213,"*"&amp;$A16&amp;"*")</f>
        <v>1</v>
      </c>
      <c r="F16" s="4" t="n">
        <f aca="false">COUNTIFS(Codifica!$A$2:$A$213,F$12,Codifica!$C$2:$C$213,"*"&amp;$A16&amp;"*")</f>
        <v>2</v>
      </c>
      <c r="G16" s="4" t="n">
        <f aca="false">COUNTIFS(Codifica!$A$2:$A$213,G$12,Codifica!$C$2:$C$213,"*"&amp;$A16&amp;"*")</f>
        <v>3</v>
      </c>
      <c r="H16" s="4" t="n">
        <f aca="false">COUNTIFS(Codifica!$A$2:$A$213,H$12,Codifica!$C$2:$C$213,"*"&amp;$A16&amp;"*")</f>
        <v>1</v>
      </c>
      <c r="I16" s="4" t="n">
        <f aca="false">SUM(C16:H16)</f>
        <v>14</v>
      </c>
      <c r="J16" s="4" t="n">
        <f aca="false">COUNTIF(C16:H16,"&gt;0")</f>
        <v>6</v>
      </c>
    </row>
    <row r="17" customFormat="false" ht="15" hidden="false" customHeight="false" outlineLevel="0" collapsed="false">
      <c r="A17" s="2" t="s">
        <v>66</v>
      </c>
      <c r="B17" s="3" t="str">
        <f aca="false">Codebook!B6</f>
        <v>Lavoro fuori orario e confini permeabili</v>
      </c>
      <c r="C17" s="4" t="n">
        <f aca="false">COUNTIFS(Codifica!$A$2:$A$213,C$12,Codifica!$C$2:$C$213,"*"&amp;$A17&amp;"*")</f>
        <v>3</v>
      </c>
      <c r="D17" s="4" t="n">
        <f aca="false">COUNTIFS(Codifica!$A$2:$A$213,D$12,Codifica!$C$2:$C$213,"*"&amp;$A17&amp;"*")</f>
        <v>1</v>
      </c>
      <c r="E17" s="4" t="n">
        <f aca="false">COUNTIFS(Codifica!$A$2:$A$213,E$12,Codifica!$C$2:$C$213,"*"&amp;$A17&amp;"*")</f>
        <v>4</v>
      </c>
      <c r="F17" s="4" t="n">
        <f aca="false">COUNTIFS(Codifica!$A$2:$A$213,F$12,Codifica!$C$2:$C$213,"*"&amp;$A17&amp;"*")</f>
        <v>3</v>
      </c>
      <c r="G17" s="4" t="n">
        <f aca="false">COUNTIFS(Codifica!$A$2:$A$213,G$12,Codifica!$C$2:$C$213,"*"&amp;$A17&amp;"*")</f>
        <v>4</v>
      </c>
      <c r="H17" s="4" t="n">
        <f aca="false">COUNTIFS(Codifica!$A$2:$A$213,H$12,Codifica!$C$2:$C$213,"*"&amp;$A17&amp;"*")</f>
        <v>3</v>
      </c>
      <c r="I17" s="4" t="n">
        <f aca="false">SUM(C17:H17)</f>
        <v>18</v>
      </c>
      <c r="J17" s="4" t="n">
        <f aca="false">COUNTIF(C17:H17,"&gt;0")</f>
        <v>6</v>
      </c>
    </row>
    <row r="18" customFormat="false" ht="15" hidden="false" customHeight="false" outlineLevel="0" collapsed="false">
      <c r="A18" s="2" t="s">
        <v>69</v>
      </c>
      <c r="B18" s="3" t="str">
        <f aca="false">Codebook!B7</f>
        <v>Strategie e rituali di separazione digitale</v>
      </c>
      <c r="C18" s="4" t="n">
        <f aca="false">COUNTIFS(Codifica!$A$2:$A$213,C$12,Codifica!$C$2:$C$213,"*"&amp;$A18&amp;"*")</f>
        <v>0</v>
      </c>
      <c r="D18" s="4" t="n">
        <f aca="false">COUNTIFS(Codifica!$A$2:$A$213,D$12,Codifica!$C$2:$C$213,"*"&amp;$A18&amp;"*")</f>
        <v>1</v>
      </c>
      <c r="E18" s="4" t="n">
        <f aca="false">COUNTIFS(Codifica!$A$2:$A$213,E$12,Codifica!$C$2:$C$213,"*"&amp;$A18&amp;"*")</f>
        <v>2</v>
      </c>
      <c r="F18" s="4" t="n">
        <f aca="false">COUNTIFS(Codifica!$A$2:$A$213,F$12,Codifica!$C$2:$C$213,"*"&amp;$A18&amp;"*")</f>
        <v>4</v>
      </c>
      <c r="G18" s="4" t="n">
        <f aca="false">COUNTIFS(Codifica!$A$2:$A$213,G$12,Codifica!$C$2:$C$213,"*"&amp;$A18&amp;"*")</f>
        <v>0</v>
      </c>
      <c r="H18" s="4" t="n">
        <f aca="false">COUNTIFS(Codifica!$A$2:$A$213,H$12,Codifica!$C$2:$C$213,"*"&amp;$A18&amp;"*")</f>
        <v>2</v>
      </c>
      <c r="I18" s="4" t="n">
        <f aca="false">SUM(C18:H18)</f>
        <v>9</v>
      </c>
      <c r="J18" s="4" t="n">
        <f aca="false">COUNTIF(C18:H18,"&gt;0")</f>
        <v>4</v>
      </c>
    </row>
    <row r="19" customFormat="false" ht="15" hidden="false" customHeight="false" outlineLevel="0" collapsed="false">
      <c r="A19" s="2" t="s">
        <v>72</v>
      </c>
      <c r="B19" s="3" t="str">
        <f aca="false">Codebook!B8</f>
        <v>Spazio fisico di lavoro e setup</v>
      </c>
      <c r="C19" s="4" t="n">
        <f aca="false">COUNTIFS(Codifica!$A$2:$A$213,C$12,Codifica!$C$2:$C$213,"*"&amp;$A19&amp;"*")</f>
        <v>3</v>
      </c>
      <c r="D19" s="4" t="n">
        <f aca="false">COUNTIFS(Codifica!$A$2:$A$213,D$12,Codifica!$C$2:$C$213,"*"&amp;$A19&amp;"*")</f>
        <v>2</v>
      </c>
      <c r="E19" s="4" t="n">
        <f aca="false">COUNTIFS(Codifica!$A$2:$A$213,E$12,Codifica!$C$2:$C$213,"*"&amp;$A19&amp;"*")</f>
        <v>2</v>
      </c>
      <c r="F19" s="4" t="n">
        <f aca="false">COUNTIFS(Codifica!$A$2:$A$213,F$12,Codifica!$C$2:$C$213,"*"&amp;$A19&amp;"*")</f>
        <v>6</v>
      </c>
      <c r="G19" s="4" t="n">
        <f aca="false">COUNTIFS(Codifica!$A$2:$A$213,G$12,Codifica!$C$2:$C$213,"*"&amp;$A19&amp;"*")</f>
        <v>2</v>
      </c>
      <c r="H19" s="4" t="n">
        <f aca="false">COUNTIFS(Codifica!$A$2:$A$213,H$12,Codifica!$C$2:$C$213,"*"&amp;$A19&amp;"*")</f>
        <v>2</v>
      </c>
      <c r="I19" s="4" t="n">
        <f aca="false">SUM(C19:H19)</f>
        <v>17</v>
      </c>
      <c r="J19" s="4" t="n">
        <f aca="false">COUNTIF(C19:H19,"&gt;0")</f>
        <v>6</v>
      </c>
    </row>
    <row r="20" customFormat="false" ht="15" hidden="false" customHeight="false" outlineLevel="0" collapsed="false">
      <c r="A20" s="2" t="s">
        <v>75</v>
      </c>
      <c r="B20" s="3" t="str">
        <f aca="false">Codebook!B9</f>
        <v>Interruzioni e presenza di altre persone in casa</v>
      </c>
      <c r="C20" s="4" t="n">
        <f aca="false">COUNTIFS(Codifica!$A$2:$A$213,C$12,Codifica!$C$2:$C$213,"*"&amp;$A20&amp;"*")</f>
        <v>2</v>
      </c>
      <c r="D20" s="4" t="n">
        <f aca="false">COUNTIFS(Codifica!$A$2:$A$213,D$12,Codifica!$C$2:$C$213,"*"&amp;$A20&amp;"*")</f>
        <v>5</v>
      </c>
      <c r="E20" s="4" t="n">
        <f aca="false">COUNTIFS(Codifica!$A$2:$A$213,E$12,Codifica!$C$2:$C$213,"*"&amp;$A20&amp;"*")</f>
        <v>3</v>
      </c>
      <c r="F20" s="4" t="n">
        <f aca="false">COUNTIFS(Codifica!$A$2:$A$213,F$12,Codifica!$C$2:$C$213,"*"&amp;$A20&amp;"*")</f>
        <v>3</v>
      </c>
      <c r="G20" s="4" t="n">
        <f aca="false">COUNTIFS(Codifica!$A$2:$A$213,G$12,Codifica!$C$2:$C$213,"*"&amp;$A20&amp;"*")</f>
        <v>1</v>
      </c>
      <c r="H20" s="4" t="n">
        <f aca="false">COUNTIFS(Codifica!$A$2:$A$213,H$12,Codifica!$C$2:$C$213,"*"&amp;$A20&amp;"*")</f>
        <v>0</v>
      </c>
      <c r="I20" s="4" t="n">
        <f aca="false">SUM(C20:H20)</f>
        <v>14</v>
      </c>
      <c r="J20" s="4" t="n">
        <f aca="false">COUNTIF(C20:H20,"&gt;0")</f>
        <v>5</v>
      </c>
    </row>
    <row r="21" customFormat="false" ht="15" hidden="false" customHeight="false" outlineLevel="0" collapsed="false">
      <c r="A21" s="2" t="s">
        <v>78</v>
      </c>
      <c r="B21" s="3" t="str">
        <f aca="false">Codebook!B10</f>
        <v>Famiglia, convivenza e conciliazione</v>
      </c>
      <c r="C21" s="4" t="n">
        <f aca="false">COUNTIFS(Codifica!$A$2:$A$213,C$12,Codifica!$C$2:$C$213,"*"&amp;$A21&amp;"*")</f>
        <v>1</v>
      </c>
      <c r="D21" s="4" t="n">
        <f aca="false">COUNTIFS(Codifica!$A$2:$A$213,D$12,Codifica!$C$2:$C$213,"*"&amp;$A21&amp;"*")</f>
        <v>4</v>
      </c>
      <c r="E21" s="4" t="n">
        <f aca="false">COUNTIFS(Codifica!$A$2:$A$213,E$12,Codifica!$C$2:$C$213,"*"&amp;$A21&amp;"*")</f>
        <v>5</v>
      </c>
      <c r="F21" s="4" t="n">
        <f aca="false">COUNTIFS(Codifica!$A$2:$A$213,F$12,Codifica!$C$2:$C$213,"*"&amp;$A21&amp;"*")</f>
        <v>2</v>
      </c>
      <c r="G21" s="4" t="n">
        <f aca="false">COUNTIFS(Codifica!$A$2:$A$213,G$12,Codifica!$C$2:$C$213,"*"&amp;$A21&amp;"*")</f>
        <v>3</v>
      </c>
      <c r="H21" s="4" t="n">
        <f aca="false">COUNTIFS(Codifica!$A$2:$A$213,H$12,Codifica!$C$2:$C$213,"*"&amp;$A21&amp;"*")</f>
        <v>0</v>
      </c>
      <c r="I21" s="4" t="n">
        <f aca="false">SUM(C21:H21)</f>
        <v>15</v>
      </c>
      <c r="J21" s="4" t="n">
        <f aca="false">COUNTIF(C21:H21,"&gt;0")</f>
        <v>5</v>
      </c>
    </row>
    <row r="22" customFormat="false" ht="15" hidden="false" customHeight="false" outlineLevel="0" collapsed="false">
      <c r="A22" s="2" t="s">
        <v>81</v>
      </c>
      <c r="B22" s="3" t="str">
        <f aca="false">Codebook!B11</f>
        <v>Assenza di pendolarismo e tempo restituito</v>
      </c>
      <c r="C22" s="4" t="n">
        <f aca="false">COUNTIFS(Codifica!$A$2:$A$213,C$12,Codifica!$C$2:$C$213,"*"&amp;$A22&amp;"*")</f>
        <v>0</v>
      </c>
      <c r="D22" s="4" t="n">
        <f aca="false">COUNTIFS(Codifica!$A$2:$A$213,D$12,Codifica!$C$2:$C$213,"*"&amp;$A22&amp;"*")</f>
        <v>3</v>
      </c>
      <c r="E22" s="4" t="n">
        <f aca="false">COUNTIFS(Codifica!$A$2:$A$213,E$12,Codifica!$C$2:$C$213,"*"&amp;$A22&amp;"*")</f>
        <v>3</v>
      </c>
      <c r="F22" s="4" t="n">
        <f aca="false">COUNTIFS(Codifica!$A$2:$A$213,F$12,Codifica!$C$2:$C$213,"*"&amp;$A22&amp;"*")</f>
        <v>0</v>
      </c>
      <c r="G22" s="4" t="n">
        <f aca="false">COUNTIFS(Codifica!$A$2:$A$213,G$12,Codifica!$C$2:$C$213,"*"&amp;$A22&amp;"*")</f>
        <v>1</v>
      </c>
      <c r="H22" s="4" t="n">
        <f aca="false">COUNTIFS(Codifica!$A$2:$A$213,H$12,Codifica!$C$2:$C$213,"*"&amp;$A22&amp;"*")</f>
        <v>0</v>
      </c>
      <c r="I22" s="4" t="n">
        <f aca="false">SUM(C22:H22)</f>
        <v>7</v>
      </c>
      <c r="J22" s="4" t="n">
        <f aca="false">COUNTIF(C22:H22,"&gt;0")</f>
        <v>3</v>
      </c>
    </row>
    <row r="23" customFormat="false" ht="15" hidden="false" customHeight="false" outlineLevel="0" collapsed="false">
      <c r="A23" s="2" t="s">
        <v>84</v>
      </c>
      <c r="B23" s="3" t="str">
        <f aca="false">Codebook!B12</f>
        <v>Flessibilità, autonomia e gestione del tempo</v>
      </c>
      <c r="C23" s="4" t="n">
        <f aca="false">COUNTIFS(Codifica!$A$2:$A$213,C$12,Codifica!$C$2:$C$213,"*"&amp;$A23&amp;"*")</f>
        <v>10</v>
      </c>
      <c r="D23" s="4" t="n">
        <f aca="false">COUNTIFS(Codifica!$A$2:$A$213,D$12,Codifica!$C$2:$C$213,"*"&amp;$A23&amp;"*")</f>
        <v>4</v>
      </c>
      <c r="E23" s="4" t="n">
        <f aca="false">COUNTIFS(Codifica!$A$2:$A$213,E$12,Codifica!$C$2:$C$213,"*"&amp;$A23&amp;"*")</f>
        <v>3</v>
      </c>
      <c r="F23" s="4" t="n">
        <f aca="false">COUNTIFS(Codifica!$A$2:$A$213,F$12,Codifica!$C$2:$C$213,"*"&amp;$A23&amp;"*")</f>
        <v>2</v>
      </c>
      <c r="G23" s="4" t="n">
        <f aca="false">COUNTIFS(Codifica!$A$2:$A$213,G$12,Codifica!$C$2:$C$213,"*"&amp;$A23&amp;"*")</f>
        <v>6</v>
      </c>
      <c r="H23" s="4" t="n">
        <f aca="false">COUNTIFS(Codifica!$A$2:$A$213,H$12,Codifica!$C$2:$C$213,"*"&amp;$A23&amp;"*")</f>
        <v>4</v>
      </c>
      <c r="I23" s="4" t="n">
        <f aca="false">SUM(C23:H23)</f>
        <v>29</v>
      </c>
      <c r="J23" s="4" t="n">
        <f aca="false">COUNTIF(C23:H23,"&gt;0")</f>
        <v>6</v>
      </c>
    </row>
    <row r="24" customFormat="false" ht="15" hidden="false" customHeight="false" outlineLevel="0" collapsed="false">
      <c r="A24" s="2" t="s">
        <v>87</v>
      </c>
      <c r="B24" s="3" t="str">
        <f aca="false">Codebook!B13</f>
        <v>Uscire di casa, movimento e tempo libero</v>
      </c>
      <c r="C24" s="4" t="n">
        <f aca="false">COUNTIFS(Codifica!$A$2:$A$213,C$12,Codifica!$C$2:$C$213,"*"&amp;$A24&amp;"*")</f>
        <v>4</v>
      </c>
      <c r="D24" s="4" t="n">
        <f aca="false">COUNTIFS(Codifica!$A$2:$A$213,D$12,Codifica!$C$2:$C$213,"*"&amp;$A24&amp;"*")</f>
        <v>3</v>
      </c>
      <c r="E24" s="4" t="n">
        <f aca="false">COUNTIFS(Codifica!$A$2:$A$213,E$12,Codifica!$C$2:$C$213,"*"&amp;$A24&amp;"*")</f>
        <v>1</v>
      </c>
      <c r="F24" s="4" t="n">
        <f aca="false">COUNTIFS(Codifica!$A$2:$A$213,F$12,Codifica!$C$2:$C$213,"*"&amp;$A24&amp;"*")</f>
        <v>4</v>
      </c>
      <c r="G24" s="4" t="n">
        <f aca="false">COUNTIFS(Codifica!$A$2:$A$213,G$12,Codifica!$C$2:$C$213,"*"&amp;$A24&amp;"*")</f>
        <v>2</v>
      </c>
      <c r="H24" s="4" t="n">
        <f aca="false">COUNTIFS(Codifica!$A$2:$A$213,H$12,Codifica!$C$2:$C$213,"*"&amp;$A24&amp;"*")</f>
        <v>0</v>
      </c>
      <c r="I24" s="4" t="n">
        <f aca="false">SUM(C24:H24)</f>
        <v>14</v>
      </c>
      <c r="J24" s="4" t="n">
        <f aca="false">COUNTIF(C24:H24,"&gt;0")</f>
        <v>5</v>
      </c>
    </row>
    <row r="25" customFormat="false" ht="15" hidden="false" customHeight="false" outlineLevel="0" collapsed="false">
      <c r="A25" s="2" t="s">
        <v>90</v>
      </c>
      <c r="B25" s="3" t="str">
        <f aca="false">Codebook!B14</f>
        <v>Amicizie e socialità extra-lavorativa</v>
      </c>
      <c r="C25" s="4" t="n">
        <f aca="false">COUNTIFS(Codifica!$A$2:$A$213,C$12,Codifica!$C$2:$C$213,"*"&amp;$A25&amp;"*")</f>
        <v>8</v>
      </c>
      <c r="D25" s="4" t="n">
        <f aca="false">COUNTIFS(Codifica!$A$2:$A$213,D$12,Codifica!$C$2:$C$213,"*"&amp;$A25&amp;"*")</f>
        <v>1</v>
      </c>
      <c r="E25" s="4" t="n">
        <f aca="false">COUNTIFS(Codifica!$A$2:$A$213,E$12,Codifica!$C$2:$C$213,"*"&amp;$A25&amp;"*")</f>
        <v>1</v>
      </c>
      <c r="F25" s="4" t="n">
        <f aca="false">COUNTIFS(Codifica!$A$2:$A$213,F$12,Codifica!$C$2:$C$213,"*"&amp;$A25&amp;"*")</f>
        <v>2</v>
      </c>
      <c r="G25" s="4" t="n">
        <f aca="false">COUNTIFS(Codifica!$A$2:$A$213,G$12,Codifica!$C$2:$C$213,"*"&amp;$A25&amp;"*")</f>
        <v>2</v>
      </c>
      <c r="H25" s="4" t="n">
        <f aca="false">COUNTIFS(Codifica!$A$2:$A$213,H$12,Codifica!$C$2:$C$213,"*"&amp;$A25&amp;"*")</f>
        <v>0</v>
      </c>
      <c r="I25" s="4" t="n">
        <f aca="false">SUM(C25:H25)</f>
        <v>14</v>
      </c>
      <c r="J25" s="4" t="n">
        <f aca="false">COUNTIF(C25:H25,"&gt;0")</f>
        <v>5</v>
      </c>
    </row>
    <row r="26" customFormat="false" ht="15" hidden="false" customHeight="false" outlineLevel="0" collapsed="false">
      <c r="A26" s="2" t="s">
        <v>93</v>
      </c>
      <c r="B26" s="3" t="str">
        <f aca="false">Codebook!B15</f>
        <v>Relazioni con i colleghi</v>
      </c>
      <c r="C26" s="4" t="n">
        <f aca="false">COUNTIFS(Codifica!$A$2:$A$213,C$12,Codifica!$C$2:$C$213,"*"&amp;$A26&amp;"*")</f>
        <v>4</v>
      </c>
      <c r="D26" s="4" t="n">
        <f aca="false">COUNTIFS(Codifica!$A$2:$A$213,D$12,Codifica!$C$2:$C$213,"*"&amp;$A26&amp;"*")</f>
        <v>2</v>
      </c>
      <c r="E26" s="4" t="n">
        <f aca="false">COUNTIFS(Codifica!$A$2:$A$213,E$12,Codifica!$C$2:$C$213,"*"&amp;$A26&amp;"*")</f>
        <v>6</v>
      </c>
      <c r="F26" s="4" t="n">
        <f aca="false">COUNTIFS(Codifica!$A$2:$A$213,F$12,Codifica!$C$2:$C$213,"*"&amp;$A26&amp;"*")</f>
        <v>4</v>
      </c>
      <c r="G26" s="4" t="n">
        <f aca="false">COUNTIFS(Codifica!$A$2:$A$213,G$12,Codifica!$C$2:$C$213,"*"&amp;$A26&amp;"*")</f>
        <v>4</v>
      </c>
      <c r="H26" s="4" t="n">
        <f aca="false">COUNTIFS(Codifica!$A$2:$A$213,H$12,Codifica!$C$2:$C$213,"*"&amp;$A26&amp;"*")</f>
        <v>2</v>
      </c>
      <c r="I26" s="4" t="n">
        <f aca="false">SUM(C26:H26)</f>
        <v>22</v>
      </c>
      <c r="J26" s="4" t="n">
        <f aca="false">COUNTIF(C26:H26,"&gt;0")</f>
        <v>6</v>
      </c>
    </row>
    <row r="27" customFormat="false" ht="15" hidden="false" customHeight="false" outlineLevel="0" collapsed="false">
      <c r="A27" s="2" t="s">
        <v>96</v>
      </c>
      <c r="B27" s="3" t="str">
        <f aca="false">Codebook!B16</f>
        <v>Incontri di persona e fiducia</v>
      </c>
      <c r="C27" s="4" t="n">
        <f aca="false">COUNTIFS(Codifica!$A$2:$A$213,C$12,Codifica!$C$2:$C$213,"*"&amp;$A27&amp;"*")</f>
        <v>1</v>
      </c>
      <c r="D27" s="4" t="n">
        <f aca="false">COUNTIFS(Codifica!$A$2:$A$213,D$12,Codifica!$C$2:$C$213,"*"&amp;$A27&amp;"*")</f>
        <v>6</v>
      </c>
      <c r="E27" s="4" t="n">
        <f aca="false">COUNTIFS(Codifica!$A$2:$A$213,E$12,Codifica!$C$2:$C$213,"*"&amp;$A27&amp;"*")</f>
        <v>2</v>
      </c>
      <c r="F27" s="4" t="n">
        <f aca="false">COUNTIFS(Codifica!$A$2:$A$213,F$12,Codifica!$C$2:$C$213,"*"&amp;$A27&amp;"*")</f>
        <v>1</v>
      </c>
      <c r="G27" s="4" t="n">
        <f aca="false">COUNTIFS(Codifica!$A$2:$A$213,G$12,Codifica!$C$2:$C$213,"*"&amp;$A27&amp;"*")</f>
        <v>1</v>
      </c>
      <c r="H27" s="4" t="n">
        <f aca="false">COUNTIFS(Codifica!$A$2:$A$213,H$12,Codifica!$C$2:$C$213,"*"&amp;$A27&amp;"*")</f>
        <v>3</v>
      </c>
      <c r="I27" s="4" t="n">
        <f aca="false">SUM(C27:H27)</f>
        <v>14</v>
      </c>
      <c r="J27" s="4" t="n">
        <f aca="false">COUNTIF(C27:H27,"&gt;0")</f>
        <v>6</v>
      </c>
    </row>
    <row r="28" customFormat="false" ht="15" hidden="false" customHeight="false" outlineLevel="0" collapsed="false">
      <c r="A28" s="2" t="s">
        <v>99</v>
      </c>
      <c r="B28" s="3" t="str">
        <f aca="false">Codebook!B17</f>
        <v>Apprendimento, onboarding e supporto a distanza</v>
      </c>
      <c r="C28" s="4" t="n">
        <f aca="false">COUNTIFS(Codifica!$A$2:$A$213,C$12,Codifica!$C$2:$C$213,"*"&amp;$A28&amp;"*")</f>
        <v>0</v>
      </c>
      <c r="D28" s="4" t="n">
        <f aca="false">COUNTIFS(Codifica!$A$2:$A$213,D$12,Codifica!$C$2:$C$213,"*"&amp;$A28&amp;"*")</f>
        <v>2</v>
      </c>
      <c r="E28" s="4" t="n">
        <f aca="false">COUNTIFS(Codifica!$A$2:$A$213,E$12,Codifica!$C$2:$C$213,"*"&amp;$A28&amp;"*")</f>
        <v>0</v>
      </c>
      <c r="F28" s="4" t="n">
        <f aca="false">COUNTIFS(Codifica!$A$2:$A$213,F$12,Codifica!$C$2:$C$213,"*"&amp;$A28&amp;"*")</f>
        <v>2</v>
      </c>
      <c r="G28" s="4" t="n">
        <f aca="false">COUNTIFS(Codifica!$A$2:$A$213,G$12,Codifica!$C$2:$C$213,"*"&amp;$A28&amp;"*")</f>
        <v>6</v>
      </c>
      <c r="H28" s="4" t="n">
        <f aca="false">COUNTIFS(Codifica!$A$2:$A$213,H$12,Codifica!$C$2:$C$213,"*"&amp;$A28&amp;"*")</f>
        <v>0</v>
      </c>
      <c r="I28" s="4" t="n">
        <f aca="false">SUM(C28:H28)</f>
        <v>10</v>
      </c>
      <c r="J28" s="4" t="n">
        <f aca="false">COUNTIF(C28:H28,"&gt;0")</f>
        <v>3</v>
      </c>
    </row>
    <row r="29" customFormat="false" ht="15" hidden="false" customHeight="false" outlineLevel="0" collapsed="false">
      <c r="A29" s="2" t="s">
        <v>102</v>
      </c>
      <c r="B29" s="3" t="str">
        <f aca="false">Codebook!B18</f>
        <v>Isolamento e rischio di alienazione</v>
      </c>
      <c r="C29" s="4" t="n">
        <f aca="false">COUNTIFS(Codifica!$A$2:$A$213,C$12,Codifica!$C$2:$C$213,"*"&amp;$A29&amp;"*")</f>
        <v>2</v>
      </c>
      <c r="D29" s="4" t="n">
        <f aca="false">COUNTIFS(Codifica!$A$2:$A$213,D$12,Codifica!$C$2:$C$213,"*"&amp;$A29&amp;"*")</f>
        <v>0</v>
      </c>
      <c r="E29" s="4" t="n">
        <f aca="false">COUNTIFS(Codifica!$A$2:$A$213,E$12,Codifica!$C$2:$C$213,"*"&amp;$A29&amp;"*")</f>
        <v>0</v>
      </c>
      <c r="F29" s="4" t="n">
        <f aca="false">COUNTIFS(Codifica!$A$2:$A$213,F$12,Codifica!$C$2:$C$213,"*"&amp;$A29&amp;"*")</f>
        <v>1</v>
      </c>
      <c r="G29" s="4" t="n">
        <f aca="false">COUNTIFS(Codifica!$A$2:$A$213,G$12,Codifica!$C$2:$C$213,"*"&amp;$A29&amp;"*")</f>
        <v>0</v>
      </c>
      <c r="H29" s="4" t="n">
        <f aca="false">COUNTIFS(Codifica!$A$2:$A$213,H$12,Codifica!$C$2:$C$213,"*"&amp;$A29&amp;"*")</f>
        <v>4</v>
      </c>
      <c r="I29" s="4" t="n">
        <f aca="false">SUM(C29:H29)</f>
        <v>7</v>
      </c>
      <c r="J29" s="4" t="n">
        <f aca="false">COUNTIF(C29:H29,"&gt;0")</f>
        <v>3</v>
      </c>
    </row>
    <row r="30" customFormat="false" ht="15" hidden="false" customHeight="false" outlineLevel="0" collapsed="false">
      <c r="A30" s="2" t="s">
        <v>105</v>
      </c>
      <c r="B30" s="3" t="str">
        <f aca="false">Codebook!B19</f>
        <v>Stress, preoccupazione e difficoltà a staccare</v>
      </c>
      <c r="C30" s="4" t="n">
        <f aca="false">COUNTIFS(Codifica!$A$2:$A$213,C$12,Codifica!$C$2:$C$213,"*"&amp;$A30&amp;"*")</f>
        <v>2</v>
      </c>
      <c r="D30" s="4" t="n">
        <f aca="false">COUNTIFS(Codifica!$A$2:$A$213,D$12,Codifica!$C$2:$C$213,"*"&amp;$A30&amp;"*")</f>
        <v>1</v>
      </c>
      <c r="E30" s="4" t="n">
        <f aca="false">COUNTIFS(Codifica!$A$2:$A$213,E$12,Codifica!$C$2:$C$213,"*"&amp;$A30&amp;"*")</f>
        <v>2</v>
      </c>
      <c r="F30" s="4" t="n">
        <f aca="false">COUNTIFS(Codifica!$A$2:$A$213,F$12,Codifica!$C$2:$C$213,"*"&amp;$A30&amp;"*")</f>
        <v>4</v>
      </c>
      <c r="G30" s="4" t="n">
        <f aca="false">COUNTIFS(Codifica!$A$2:$A$213,G$12,Codifica!$C$2:$C$213,"*"&amp;$A30&amp;"*")</f>
        <v>1</v>
      </c>
      <c r="H30" s="4" t="n">
        <f aca="false">COUNTIFS(Codifica!$A$2:$A$213,H$12,Codifica!$C$2:$C$213,"*"&amp;$A30&amp;"*")</f>
        <v>3</v>
      </c>
      <c r="I30" s="4" t="n">
        <f aca="false">SUM(C30:H30)</f>
        <v>13</v>
      </c>
      <c r="J30" s="4" t="n">
        <f aca="false">COUNTIF(C30:H30,"&gt;0")</f>
        <v>6</v>
      </c>
    </row>
    <row r="31" customFormat="false" ht="15" hidden="false" customHeight="false" outlineLevel="0" collapsed="false">
      <c r="A31" s="2" t="s">
        <v>108</v>
      </c>
      <c r="B31" s="3" t="str">
        <f aca="false">Codebook!B20</f>
        <v>Presenza online e visibilità</v>
      </c>
      <c r="C31" s="4" t="n">
        <f aca="false">COUNTIFS(Codifica!$A$2:$A$213,C$12,Codifica!$C$2:$C$213,"*"&amp;$A31&amp;"*")</f>
        <v>2</v>
      </c>
      <c r="D31" s="4" t="n">
        <f aca="false">COUNTIFS(Codifica!$A$2:$A$213,D$12,Codifica!$C$2:$C$213,"*"&amp;$A31&amp;"*")</f>
        <v>0</v>
      </c>
      <c r="E31" s="4" t="n">
        <f aca="false">COUNTIFS(Codifica!$A$2:$A$213,E$12,Codifica!$C$2:$C$213,"*"&amp;$A31&amp;"*")</f>
        <v>0</v>
      </c>
      <c r="F31" s="4" t="n">
        <f aca="false">COUNTIFS(Codifica!$A$2:$A$213,F$12,Codifica!$C$2:$C$213,"*"&amp;$A31&amp;"*")</f>
        <v>0</v>
      </c>
      <c r="G31" s="4" t="n">
        <f aca="false">COUNTIFS(Codifica!$A$2:$A$213,G$12,Codifica!$C$2:$C$213,"*"&amp;$A31&amp;"*")</f>
        <v>4</v>
      </c>
      <c r="H31" s="4" t="n">
        <f aca="false">COUNTIFS(Codifica!$A$2:$A$213,H$12,Codifica!$C$2:$C$213,"*"&amp;$A31&amp;"*")</f>
        <v>0</v>
      </c>
      <c r="I31" s="4" t="n">
        <f aca="false">SUM(C31:H31)</f>
        <v>6</v>
      </c>
      <c r="J31" s="4" t="n">
        <f aca="false">COUNTIF(C31:H31,"&gt;0")</f>
        <v>2</v>
      </c>
    </row>
    <row r="32" customFormat="false" ht="15" hidden="false" customHeight="false" outlineLevel="0" collapsed="false">
      <c r="A32" s="2" t="s">
        <v>111</v>
      </c>
      <c r="B32" s="3" t="str">
        <f aca="false">Codebook!B21</f>
        <v>Ibrido, presenza fisica e ufficio</v>
      </c>
      <c r="C32" s="4" t="n">
        <f aca="false">COUNTIFS(Codifica!$A$2:$A$213,C$12,Codifica!$C$2:$C$213,"*"&amp;$A32&amp;"*")</f>
        <v>3</v>
      </c>
      <c r="D32" s="4" t="n">
        <f aca="false">COUNTIFS(Codifica!$A$2:$A$213,D$12,Codifica!$C$2:$C$213,"*"&amp;$A32&amp;"*")</f>
        <v>0</v>
      </c>
      <c r="E32" s="4" t="n">
        <f aca="false">COUNTIFS(Codifica!$A$2:$A$213,E$12,Codifica!$C$2:$C$213,"*"&amp;$A32&amp;"*")</f>
        <v>1</v>
      </c>
      <c r="F32" s="4" t="n">
        <f aca="false">COUNTIFS(Codifica!$A$2:$A$213,F$12,Codifica!$C$2:$C$213,"*"&amp;$A32&amp;"*")</f>
        <v>2</v>
      </c>
      <c r="G32" s="4" t="n">
        <f aca="false">COUNTIFS(Codifica!$A$2:$A$213,G$12,Codifica!$C$2:$C$213,"*"&amp;$A32&amp;"*")</f>
        <v>0</v>
      </c>
      <c r="H32" s="4" t="n">
        <f aca="false">COUNTIFS(Codifica!$A$2:$A$213,H$12,Codifica!$C$2:$C$213,"*"&amp;$A32&amp;"*")</f>
        <v>5</v>
      </c>
      <c r="I32" s="4" t="n">
        <f aca="false">SUM(C32:H32)</f>
        <v>11</v>
      </c>
      <c r="J32" s="4" t="n">
        <f aca="false">COUNTIF(C32:H32,"&gt;0")</f>
        <v>4</v>
      </c>
    </row>
    <row r="33" customFormat="false" ht="15" hidden="false" customHeight="false" outlineLevel="0" collapsed="false">
      <c r="A33" s="2" t="s">
        <v>114</v>
      </c>
      <c r="B33" s="3" t="str">
        <f aca="false">Codebook!B22</f>
        <v>Tutele, normativa e infrastruttura organizzativa</v>
      </c>
      <c r="C33" s="4" t="n">
        <f aca="false">COUNTIFS(Codifica!$A$2:$A$213,C$12,Codifica!$C$2:$C$213,"*"&amp;$A33&amp;"*")</f>
        <v>1</v>
      </c>
      <c r="D33" s="4" t="n">
        <f aca="false">COUNTIFS(Codifica!$A$2:$A$213,D$12,Codifica!$C$2:$C$213,"*"&amp;$A33&amp;"*")</f>
        <v>0</v>
      </c>
      <c r="E33" s="4" t="n">
        <f aca="false">COUNTIFS(Codifica!$A$2:$A$213,E$12,Codifica!$C$2:$C$213,"*"&amp;$A33&amp;"*")</f>
        <v>0</v>
      </c>
      <c r="F33" s="4" t="n">
        <f aca="false">COUNTIFS(Codifica!$A$2:$A$213,F$12,Codifica!$C$2:$C$213,"*"&amp;$A33&amp;"*")</f>
        <v>0</v>
      </c>
      <c r="G33" s="4" t="n">
        <f aca="false">COUNTIFS(Codifica!$A$2:$A$213,G$12,Codifica!$C$2:$C$213,"*"&amp;$A33&amp;"*")</f>
        <v>9</v>
      </c>
      <c r="H33" s="4" t="n">
        <f aca="false">COUNTIFS(Codifica!$A$2:$A$213,H$12,Codifica!$C$2:$C$213,"*"&amp;$A33&amp;"*")</f>
        <v>0</v>
      </c>
      <c r="I33" s="4" t="n">
        <f aca="false">SUM(C33:H33)</f>
        <v>10</v>
      </c>
      <c r="J33" s="4" t="n">
        <f aca="false">COUNTIF(C33:H33,"&gt;0")</f>
        <v>2</v>
      </c>
    </row>
    <row r="34" customFormat="false" ht="15" hidden="false" customHeight="false" outlineLevel="0" collapsed="false">
      <c r="A34" s="2" t="s">
        <v>117</v>
      </c>
      <c r="B34" s="3" t="str">
        <f aca="false">Codebook!B23</f>
        <v>Meno distrazioni e produttività</v>
      </c>
      <c r="C34" s="4" t="n">
        <f aca="false">COUNTIFS(Codifica!$A$2:$A$213,C$12,Codifica!$C$2:$C$213,"*"&amp;$A34&amp;"*")</f>
        <v>0</v>
      </c>
      <c r="D34" s="4" t="n">
        <f aca="false">COUNTIFS(Codifica!$A$2:$A$213,D$12,Codifica!$C$2:$C$213,"*"&amp;$A34&amp;"*")</f>
        <v>0</v>
      </c>
      <c r="E34" s="4" t="n">
        <f aca="false">COUNTIFS(Codifica!$A$2:$A$213,E$12,Codifica!$C$2:$C$213,"*"&amp;$A34&amp;"*")</f>
        <v>0</v>
      </c>
      <c r="F34" s="4" t="n">
        <f aca="false">COUNTIFS(Codifica!$A$2:$A$213,F$12,Codifica!$C$2:$C$213,"*"&amp;$A34&amp;"*")</f>
        <v>2</v>
      </c>
      <c r="G34" s="4" t="n">
        <f aca="false">COUNTIFS(Codifica!$A$2:$A$213,G$12,Codifica!$C$2:$C$213,"*"&amp;$A34&amp;"*")</f>
        <v>1</v>
      </c>
      <c r="H34" s="4" t="n">
        <f aca="false">COUNTIFS(Codifica!$A$2:$A$213,H$12,Codifica!$C$2:$C$213,"*"&amp;$A34&amp;"*")</f>
        <v>0</v>
      </c>
      <c r="I34" s="4" t="n">
        <f aca="false">SUM(C34:H34)</f>
        <v>3</v>
      </c>
      <c r="J34" s="4" t="n">
        <f aca="false">COUNTIF(C34:H34,"&gt;0")</f>
        <v>2</v>
      </c>
    </row>
    <row r="35" customFormat="false" ht="15" hidden="false" customHeight="false" outlineLevel="0" collapsed="false">
      <c r="A35" s="2" t="s">
        <v>120</v>
      </c>
      <c r="B35" s="3" t="str">
        <f aca="false">Codebook!B24</f>
        <v>Salute fisica ed ergonomia</v>
      </c>
      <c r="C35" s="4" t="n">
        <f aca="false">COUNTIFS(Codifica!$A$2:$A$213,C$12,Codifica!$C$2:$C$213,"*"&amp;$A35&amp;"*")</f>
        <v>2</v>
      </c>
      <c r="D35" s="4" t="n">
        <f aca="false">COUNTIFS(Codifica!$A$2:$A$213,D$12,Codifica!$C$2:$C$213,"*"&amp;$A35&amp;"*")</f>
        <v>0</v>
      </c>
      <c r="E35" s="4" t="n">
        <f aca="false">COUNTIFS(Codifica!$A$2:$A$213,E$12,Codifica!$C$2:$C$213,"*"&amp;$A35&amp;"*")</f>
        <v>1</v>
      </c>
      <c r="F35" s="4" t="n">
        <f aca="false">COUNTIFS(Codifica!$A$2:$A$213,F$12,Codifica!$C$2:$C$213,"*"&amp;$A35&amp;"*")</f>
        <v>0</v>
      </c>
      <c r="G35" s="4" t="n">
        <f aca="false">COUNTIFS(Codifica!$A$2:$A$213,G$12,Codifica!$C$2:$C$213,"*"&amp;$A35&amp;"*")</f>
        <v>1</v>
      </c>
      <c r="H35" s="4" t="n">
        <f aca="false">COUNTIFS(Codifica!$A$2:$A$213,H$12,Codifica!$C$2:$C$213,"*"&amp;$A35&amp;"*")</f>
        <v>1</v>
      </c>
      <c r="I35" s="4" t="n">
        <f aca="false">SUM(C35:H35)</f>
        <v>5</v>
      </c>
      <c r="J35" s="4" t="n">
        <f aca="false">COUNTIF(C35:H35,"&gt;0")</f>
        <v>4</v>
      </c>
    </row>
    <row r="36" customFormat="false" ht="15" hidden="false" customHeight="false" outlineLevel="0" collapsed="false">
      <c r="A36" s="2" t="s">
        <v>123</v>
      </c>
      <c r="B36" s="3" t="str">
        <f aca="false">Codebook!B25</f>
        <v>Mobilità geografica e radicamento territoriale</v>
      </c>
      <c r="C36" s="4" t="n">
        <f aca="false">COUNTIFS(Codifica!$A$2:$A$213,C$12,Codifica!$C$2:$C$213,"*"&amp;$A36&amp;"*")</f>
        <v>0</v>
      </c>
      <c r="D36" s="4" t="n">
        <f aca="false">COUNTIFS(Codifica!$A$2:$A$213,D$12,Codifica!$C$2:$C$213,"*"&amp;$A36&amp;"*")</f>
        <v>0</v>
      </c>
      <c r="E36" s="4" t="n">
        <f aca="false">COUNTIFS(Codifica!$A$2:$A$213,E$12,Codifica!$C$2:$C$213,"*"&amp;$A36&amp;"*")</f>
        <v>0</v>
      </c>
      <c r="F36" s="4" t="n">
        <f aca="false">COUNTIFS(Codifica!$A$2:$A$213,F$12,Codifica!$C$2:$C$213,"*"&amp;$A36&amp;"*")</f>
        <v>0</v>
      </c>
      <c r="G36" s="4" t="n">
        <f aca="false">COUNTIFS(Codifica!$A$2:$A$213,G$12,Codifica!$C$2:$C$213,"*"&amp;$A36&amp;"*")</f>
        <v>12</v>
      </c>
      <c r="H36" s="4" t="n">
        <f aca="false">COUNTIFS(Codifica!$A$2:$A$213,H$12,Codifica!$C$2:$C$213,"*"&amp;$A36&amp;"*")</f>
        <v>0</v>
      </c>
      <c r="I36" s="4" t="n">
        <f aca="false">SUM(C36:H36)</f>
        <v>12</v>
      </c>
      <c r="J36" s="4" t="n">
        <f aca="false">COUNTIF(C36:H36,"&gt;0")</f>
        <v>1</v>
      </c>
    </row>
    <row r="37" customFormat="false" ht="15" hidden="false" customHeight="false" outlineLevel="0" collapsed="false">
      <c r="A37" s="2" t="s">
        <v>126</v>
      </c>
      <c r="B37" s="3" t="str">
        <f aca="false">Codebook!B26</f>
        <v>Cultura organizzativa e valori generazionali</v>
      </c>
      <c r="C37" s="4" t="n">
        <f aca="false">COUNTIFS(Codifica!$A$2:$A$213,C$12,Codifica!$C$2:$C$213,"*"&amp;$A37&amp;"*")</f>
        <v>1</v>
      </c>
      <c r="D37" s="4" t="n">
        <f aca="false">COUNTIFS(Codifica!$A$2:$A$213,D$12,Codifica!$C$2:$C$213,"*"&amp;$A37&amp;"*")</f>
        <v>0</v>
      </c>
      <c r="E37" s="4" t="n">
        <f aca="false">COUNTIFS(Codifica!$A$2:$A$213,E$12,Codifica!$C$2:$C$213,"*"&amp;$A37&amp;"*")</f>
        <v>0</v>
      </c>
      <c r="F37" s="4" t="n">
        <f aca="false">COUNTIFS(Codifica!$A$2:$A$213,F$12,Codifica!$C$2:$C$213,"*"&amp;$A37&amp;"*")</f>
        <v>0</v>
      </c>
      <c r="G37" s="4" t="n">
        <f aca="false">COUNTIFS(Codifica!$A$2:$A$213,G$12,Codifica!$C$2:$C$213,"*"&amp;$A37&amp;"*")</f>
        <v>3</v>
      </c>
      <c r="H37" s="4" t="n">
        <f aca="false">COUNTIFS(Codifica!$A$2:$A$213,H$12,Codifica!$C$2:$C$213,"*"&amp;$A37&amp;"*")</f>
        <v>9</v>
      </c>
      <c r="I37" s="4" t="n">
        <f aca="false">SUM(C37:H37)</f>
        <v>13</v>
      </c>
      <c r="J37" s="4" t="n">
        <f aca="false">COUNTIF(C37:H37,"&gt;0")</f>
        <v>3</v>
      </c>
    </row>
    <row r="38" customFormat="false" ht="15" hidden="false" customHeight="false" outlineLevel="0" collapsed="false">
      <c r="A38" s="2" t="s">
        <v>129</v>
      </c>
      <c r="B38" s="3" t="str">
        <f aca="false">Codebook!B27</f>
        <v>Scelta o imposizione del lavoro da remoto</v>
      </c>
      <c r="C38" s="4" t="n">
        <f aca="false">COUNTIFS(Codifica!$A$2:$A$213,C$12,Codifica!$C$2:$C$213,"*"&amp;$A38&amp;"*")</f>
        <v>0</v>
      </c>
      <c r="D38" s="4" t="n">
        <f aca="false">COUNTIFS(Codifica!$A$2:$A$213,D$12,Codifica!$C$2:$C$213,"*"&amp;$A38&amp;"*")</f>
        <v>1</v>
      </c>
      <c r="E38" s="4" t="n">
        <f aca="false">COUNTIFS(Codifica!$A$2:$A$213,E$12,Codifica!$C$2:$C$213,"*"&amp;$A38&amp;"*")</f>
        <v>0</v>
      </c>
      <c r="F38" s="4" t="n">
        <f aca="false">COUNTIFS(Codifica!$A$2:$A$213,F$12,Codifica!$C$2:$C$213,"*"&amp;$A38&amp;"*")</f>
        <v>2</v>
      </c>
      <c r="G38" s="4" t="n">
        <f aca="false">COUNTIFS(Codifica!$A$2:$A$213,G$12,Codifica!$C$2:$C$213,"*"&amp;$A38&amp;"*")</f>
        <v>1</v>
      </c>
      <c r="H38" s="4" t="n">
        <f aca="false">COUNTIFS(Codifica!$A$2:$A$213,H$12,Codifica!$C$2:$C$213,"*"&amp;$A38&amp;"*")</f>
        <v>0</v>
      </c>
      <c r="I38" s="4" t="n">
        <f aca="false">SUM(C38:H38)</f>
        <v>4</v>
      </c>
      <c r="J38" s="4" t="n">
        <f aca="false">COUNTIF(C38:H38,"&gt;0")</f>
        <v>3</v>
      </c>
    </row>
    <row r="39" customFormat="false" ht="15" hidden="false" customHeight="false" outlineLevel="0" collapsed="false">
      <c r="A39" s="2" t="s">
        <v>132</v>
      </c>
      <c r="B39" s="3" t="str">
        <f aca="false">Codebook!B28</f>
        <v>Contenuto pertinente non codificato</v>
      </c>
      <c r="C39" s="4" t="n">
        <f aca="false">COUNTIFS(Codifica!$A$2:$A$213,C$12,Codifica!$C$2:$C$213,"*"&amp;$A39&amp;"*")</f>
        <v>0</v>
      </c>
      <c r="D39" s="4" t="n">
        <f aca="false">COUNTIFS(Codifica!$A$2:$A$213,D$12,Codifica!$C$2:$C$213,"*"&amp;$A39&amp;"*")</f>
        <v>1</v>
      </c>
      <c r="E39" s="4" t="n">
        <f aca="false">COUNTIFS(Codifica!$A$2:$A$213,E$12,Codifica!$C$2:$C$213,"*"&amp;$A39&amp;"*")</f>
        <v>0</v>
      </c>
      <c r="F39" s="4" t="n">
        <f aca="false">COUNTIFS(Codifica!$A$2:$A$213,F$12,Codifica!$C$2:$C$213,"*"&amp;$A39&amp;"*")</f>
        <v>0</v>
      </c>
      <c r="G39" s="4" t="n">
        <f aca="false">COUNTIFS(Codifica!$A$2:$A$213,G$12,Codifica!$C$2:$C$213,"*"&amp;$A39&amp;"*")</f>
        <v>0</v>
      </c>
      <c r="H39" s="4" t="n">
        <f aca="false">COUNTIFS(Codifica!$A$2:$A$213,H$12,Codifica!$C$2:$C$213,"*"&amp;$A39&amp;"*")</f>
        <v>1</v>
      </c>
      <c r="I39" s="4" t="n">
        <f aca="false">SUM(C39:H39)</f>
        <v>2</v>
      </c>
      <c r="J39" s="4" t="n">
        <f aca="false">COUNTIF(C39:H39,"&gt;0")</f>
        <v>2</v>
      </c>
    </row>
    <row r="40" customFormat="false" ht="15" hidden="false" customHeight="false" outlineLevel="0" collapsed="false">
      <c r="A40" s="2" t="s">
        <v>135</v>
      </c>
      <c r="B40" s="3" t="str">
        <f aca="false">Codebook!B29</f>
        <v>Risposta non pertinente, vuota o non informativa</v>
      </c>
      <c r="C40" s="4" t="n">
        <f aca="false">COUNTIFS(Codifica!$A$2:$A$213,C$12,Codifica!$C$2:$C$213,"*"&amp;$A40&amp;"*")</f>
        <v>0</v>
      </c>
      <c r="D40" s="4" t="n">
        <f aca="false">COUNTIFS(Codifica!$A$2:$A$213,D$12,Codifica!$C$2:$C$213,"*"&amp;$A40&amp;"*")</f>
        <v>0</v>
      </c>
      <c r="E40" s="4" t="n">
        <f aca="false">COUNTIFS(Codifica!$A$2:$A$213,E$12,Codifica!$C$2:$C$213,"*"&amp;$A40&amp;"*")</f>
        <v>0</v>
      </c>
      <c r="F40" s="4" t="n">
        <f aca="false">COUNTIFS(Codifica!$A$2:$A$213,F$12,Codifica!$C$2:$C$213,"*"&amp;$A40&amp;"*")</f>
        <v>1</v>
      </c>
      <c r="G40" s="4" t="n">
        <f aca="false">COUNTIFS(Codifica!$A$2:$A$213,G$12,Codifica!$C$2:$C$213,"*"&amp;$A40&amp;"*")</f>
        <v>0</v>
      </c>
      <c r="H40" s="4" t="n">
        <f aca="false">COUNTIFS(Codifica!$A$2:$A$213,H$12,Codifica!$C$2:$C$213,"*"&amp;$A40&amp;"*")</f>
        <v>0</v>
      </c>
      <c r="I40" s="4" t="n">
        <f aca="false">SUM(C40:H40)</f>
        <v>1</v>
      </c>
      <c r="J40" s="4" t="n">
        <f aca="false">COUNTIF(C40:H40,"&gt;0")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27" hidden="false" customHeight="true" outlineLevel="0" collapsed="false">
      <c r="A1" s="1" t="s">
        <v>593</v>
      </c>
      <c r="B1" s="1" t="s">
        <v>594</v>
      </c>
    </row>
    <row r="2" customFormat="false" ht="61.5" hidden="false" customHeight="true" outlineLevel="0" collapsed="false">
      <c r="A2" s="6" t="s">
        <v>595</v>
      </c>
      <c r="B2" s="7" t="s">
        <v>596</v>
      </c>
    </row>
    <row r="3" customFormat="false" ht="61.5" hidden="false" customHeight="true" outlineLevel="0" collapsed="false">
      <c r="A3" s="6" t="s">
        <v>597</v>
      </c>
      <c r="B3" s="7" t="s">
        <v>598</v>
      </c>
    </row>
    <row r="4" customFormat="false" ht="61.5" hidden="false" customHeight="true" outlineLevel="0" collapsed="false">
      <c r="A4" s="6" t="s">
        <v>599</v>
      </c>
      <c r="B4" s="7" t="s">
        <v>600</v>
      </c>
    </row>
    <row r="5" customFormat="false" ht="61.5" hidden="false" customHeight="true" outlineLevel="0" collapsed="false">
      <c r="A5" s="6" t="s">
        <v>601</v>
      </c>
      <c r="B5" s="7" t="s">
        <v>602</v>
      </c>
    </row>
    <row r="6" customFormat="false" ht="61.5" hidden="false" customHeight="true" outlineLevel="0" collapsed="false">
      <c r="A6" s="6" t="s">
        <v>603</v>
      </c>
      <c r="B6" s="7" t="s">
        <v>604</v>
      </c>
    </row>
    <row r="7" customFormat="false" ht="61.5" hidden="false" customHeight="true" outlineLevel="0" collapsed="false">
      <c r="A7" s="6" t="s">
        <v>605</v>
      </c>
      <c r="B7" s="7"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2026-10-27T14:00:56Z</dcterms:created>
  <dc:creator>openpyxl</dc:creator>
  <dc:description/>
  <dc:language>en-US</dc:language>
  <cp:lastModifiedBy/>
  <dcterms:modified xsi:type="dcterms:W3CDTF">2026-10-27T14:00:56Z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